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دليل الاستعمال" sheetId="1" state="visible" r:id="rId3"/>
    <sheet name="كالندر 90 يوم" sheetId="2" state="visible" r:id="rId4"/>
    <sheet name="بنك الأفكار" sheetId="3" state="visible" r:id="rId5"/>
    <sheet name="قوالب الـ Hook" sheetId="4" state="visible" r:id="rId6"/>
    <sheet name="المؤثرات" sheetId="5" state="visible" r:id="rId7"/>
    <sheet name="مؤشرات أسبوعية" sheetId="6" state="visible" r:id="rId8"/>
    <sheet name="الميزانية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<sst xmlns="http://schemas.openxmlformats.org/spreadsheetml/2006/main" count="1263" uniqueCount="488">
  <si>
    <t xml:space="preserve">نبضة — كالندر المحتوى والتنفيذ (90 يوماً)</t>
  </si>
  <si>
    <t xml:space="preserve">الفترة</t>
  </si>
  <si>
    <t xml:space="preserve">5 أوت 2026 → 2 نوفمبر 2026</t>
  </si>
  <si>
    <t xml:space="preserve">الميزانية</t>
  </si>
  <si>
    <t xml:space="preserve">20,000 دج / شهر</t>
  </si>
  <si>
    <t xml:space="preserve">المنفّذ</t>
  </si>
  <si>
    <t xml:space="preserve">شخص واحد</t>
  </si>
  <si>
    <t xml:space="preserve">الهدف الأول</t>
  </si>
  <si>
    <t xml:space="preserve">عدد الطلبات المؤكدة أسبوعياً</t>
  </si>
  <si>
    <t xml:space="preserve">كيف تستعمل هذا الملف</t>
  </si>
  <si>
    <t xml:space="preserve">1. ورقة «كالندر 90 يوم»</t>
  </si>
  <si>
    <t xml:space="preserve">صف واحد لكل يوم. املأ عمود «الحالة» يومياً (اختر من القائمة المنسدلة).</t>
  </si>
  <si>
    <t xml:space="preserve">2. ورقة «بنك الأفكار»</t>
  </si>
  <si>
    <t xml:space="preserve">70 فكرة محتوى جاهزة مصنّفة حسب المحور. عند نفاد الأفكار، ارجع هنا.</t>
  </si>
  <si>
    <t xml:space="preserve">3. ورقة «قوالب الـ Hook»</t>
  </si>
  <si>
    <t xml:space="preserve">صيغ افتتاحية جاهزة بالدارجة — انسخ والصق مع تغيير الموضوع.</t>
  </si>
  <si>
    <t xml:space="preserve">4. ورقة «المؤثرات»</t>
  </si>
  <si>
    <t xml:space="preserve">تتبّع كل مؤثرة: الحالة، المتابعون، النتيجة، الطلبات من كودها.</t>
  </si>
  <si>
    <t xml:space="preserve">5. ورقة «مؤشرات أسبوعية»</t>
  </si>
  <si>
    <t xml:space="preserve">املأ الخانات الزرقاء فقط كل يوم أحد. البقية تُحسب تلقائياً.</t>
  </si>
  <si>
    <t xml:space="preserve">6. ورقة «الميزانية»</t>
  </si>
  <si>
    <t xml:space="preserve">تتبّع الإنفاق الفعلي مقابل المخطط.</t>
  </si>
  <si>
    <t xml:space="preserve">قاعدة يوم الإنتاج ⚠️</t>
  </si>
  <si>
    <t xml:space="preserve">كل يوم أحد: 3 ساعات تصوير (25–30 فيديو) + ساعتان مونتاج = محتوى أسبوع كامل. لا تصوّر يومياً — ستتوقف خلال 3 أسابيع.</t>
  </si>
  <si>
    <t xml:space="preserve">قاعدة Boost the Winners</t>
  </si>
  <si>
    <t xml:space="preserve">لا تُنفق دينار على محتوى جديد. عزّز فقط ما تجاوز 5% تفاعل عضوياً.</t>
  </si>
  <si>
    <t xml:space="preserve">قاعدة الـ 1.5 ثانية</t>
  </si>
  <si>
    <t xml:space="preserve">إذا لم يشدّ الفيديو المشاهدة في أول ثانية ونصف — خسرتها. الـ Hook أهم من كل شيء.</t>
  </si>
  <si>
    <t xml:space="preserve">قاعدة اللغة</t>
  </si>
  <si>
    <t xml:space="preserve">دارجة جزائرية. لا فصحى. هذا يضاعف التفاعل.</t>
  </si>
  <si>
    <t xml:space="preserve">قاعدة السلامة</t>
  </si>
  <si>
    <t xml:space="preserve">لا جرعات، لا تشخيص، لا وعود بالحمل. «استشيري طبيبتك» في كل موضوع حساس.</t>
  </si>
  <si>
    <t xml:space="preserve">رموز الحالة</t>
  </si>
  <si>
    <t xml:space="preserve">⬜ لم يبدأ  |  🔵 قيد التنفيذ  |  ✅ منشور  |  ⏭️ مؤجل</t>
  </si>
  <si>
    <t xml:space="preserve">اليوم</t>
  </si>
  <si>
    <t xml:space="preserve">التاريخ</t>
  </si>
  <si>
    <t xml:space="preserve">أيام الأسبوع</t>
  </si>
  <si>
    <t xml:space="preserve">المرحلة</t>
  </si>
  <si>
    <t xml:space="preserve">🎵 تيك توك (فكرة اليوم)</t>
  </si>
  <si>
    <t xml:space="preserve">📘 فيسبوك</t>
  </si>
  <si>
    <t xml:space="preserve">📸 إنستغرام</t>
  </si>
  <si>
    <t xml:space="preserve">🎯 مهمة اليوم الأساسية</t>
  </si>
  <si>
    <t xml:space="preserve">الحالة</t>
  </si>
  <si>
    <t xml:space="preserve">ملاحظات</t>
  </si>
  <si>
    <t xml:space="preserve">05/08/2026</t>
  </si>
  <si>
    <t xml:space="preserve">الأربعاء</t>
  </si>
  <si>
    <t xml:space="preserve">أسبوع 0 — التحضير</t>
  </si>
  <si>
    <t xml:space="preserve">—</t>
  </si>
  <si>
    <t xml:space="preserve">توحيد الاسم والصورة والـ Bio على 3 منصات</t>
  </si>
  <si>
    <t xml:space="preserve">⬜ لم يبدأ</t>
  </si>
  <si>
    <t xml:space="preserve">06/08/2026</t>
  </si>
  <si>
    <t xml:space="preserve">الخميس</t>
  </si>
  <si>
    <t xml:space="preserve">إنشاء صفحة الرابط الواحد (Linktree)</t>
  </si>
  <si>
    <t xml:space="preserve">07/08/2026</t>
  </si>
  <si>
    <t xml:space="preserve">الجمعة</t>
  </si>
  <si>
    <t xml:space="preserve">إنشاء مجموعة فيسبوك + القواعد + منشور ترحيبي</t>
  </si>
  <si>
    <t xml:space="preserve">08/08/2026</t>
  </si>
  <si>
    <t xml:space="preserve">السبت</t>
  </si>
  <si>
    <t xml:space="preserve">إعداد WhatsApp Business + الكتالوج</t>
  </si>
  <si>
    <t xml:space="preserve">09/08/2026</t>
  </si>
  <si>
    <t xml:space="preserve">الأحد</t>
  </si>
  <si>
    <t xml:space="preserve">تحسين صفحة Google Play (عنوان + وصف + 8 لقطات)</t>
  </si>
  <si>
    <t xml:space="preserve">10/08/2026</t>
  </si>
  <si>
    <t xml:space="preserve">الإثنين</t>
  </si>
  <si>
    <t xml:space="preserve">تركيب Meta Pixel + أحداث Firebase + روابط UTM</t>
  </si>
  <si>
    <t xml:space="preserve">11/08/2026</t>
  </si>
  <si>
    <t xml:space="preserve">الثلاثاء</t>
  </si>
  <si>
    <t xml:space="preserve">🎬 يوم الإنتاج: تصوير 30 فيديو + الانضمام لـ25 مجموعة</t>
  </si>
  <si>
    <t xml:space="preserve">12/08/2026</t>
  </si>
  <si>
    <t xml:space="preserve">المرحلة 1 — التأسيس</t>
  </si>
  <si>
    <t xml:space="preserve">خطأ شائع: «3 أخطاء تديرها كل حامل جزائرية»</t>
  </si>
  <si>
    <t xml:space="preserve">منشور قصة طويل: «لماذا صنعت نبضة»</t>
  </si>
  <si>
    <t xml:space="preserve">كاروسيل تعليمي (5 شرائح)</t>
  </si>
  <si>
    <t xml:space="preserve">🚀 الإطلاق الرسمي — انشر أول 3 فيديوهات</t>
  </si>
  <si>
    <t xml:space="preserve">13/08/2026</t>
  </si>
  <si>
    <t xml:space="preserve">«واش راكِ تحسي بيه... راهو نورمال» (أعراض الحمل)</t>
  </si>
  <si>
    <t xml:space="preserve">سؤال للمجتمع: واش أصعب حاجة في الحمل؟</t>
  </si>
  <si>
    <t xml:space="preserve">ريل معاد من تيك توك</t>
  </si>
  <si>
    <t xml:space="preserve">نشر 3 فيديوهات + منشور المجموعة</t>
  </si>
  <si>
    <t xml:space="preserve">14/08/2026</t>
  </si>
  <si>
    <t xml:space="preserve">تسجيل شاشة: كيفاش التطبيق يحسب نهار الإباضة</t>
  </si>
  <si>
    <t xml:space="preserve">منشور تعليمي + صورة واحدة</t>
  </si>
  <si>
    <t xml:space="preserve">ستوري: صندوق أسئلة</t>
  </si>
  <si>
    <t xml:space="preserve">نشر 3 فيديوهات + تحليل أرقام أمس</t>
  </si>
  <si>
    <t xml:space="preserve">15/08/2026</t>
  </si>
  <si>
    <t xml:space="preserve">قائمة حقيبة الولادة — الجزء 1</t>
  </si>
  <si>
    <t xml:space="preserve">مشاركة مراجعة عميلة (Screenshot)</t>
  </si>
  <si>
    <t xml:space="preserve">ستوري: استطلاع + نتيجة</t>
  </si>
  <si>
    <t xml:space="preserve">نشر 3 فيديوهات + جلسة أسئلة في المجموعة</t>
  </si>
  <si>
    <t xml:space="preserve">16/08/2026</t>
  </si>
  <si>
    <t xml:space="preserve">خرافة vs حقيقة: الرضاعة تمنع الحمل؟</t>
  </si>
  <si>
    <t xml:space="preserve">بث الأسئلة والأجوبة في المجموعة</t>
  </si>
  <si>
    <t xml:space="preserve">منشور اقتباس بهوية نبضة</t>
  </si>
  <si>
    <t xml:space="preserve">دعوة 100 شخص لمجموعة فيسبوك</t>
  </si>
  <si>
    <t xml:space="preserve">17/08/2026</t>
  </si>
  <si>
    <t xml:space="preserve">POV: راكِ حامل لأول مرة وما تعرفي والو</t>
  </si>
  <si>
    <t xml:space="preserve">منشور «هل تعلمين؟» صحي</t>
  </si>
  <si>
    <t xml:space="preserve">ستوري: من وراء الكواليس</t>
  </si>
  <si>
    <t xml:space="preserve">نشر 3 فيديوهات + رد على كل التعليقات</t>
  </si>
  <si>
    <t xml:space="preserve">18/08/2026</t>
  </si>
  <si>
    <t xml:space="preserve">واقي الحلمة: المزيف vs الأصلي</t>
  </si>
  <si>
    <t xml:space="preserve">استطلاع: أي منتج تحتاجينه أكثر؟</t>
  </si>
  <si>
    <t xml:space="preserve">كاروسيل: قائمة تحقّق</t>
  </si>
  <si>
    <t xml:space="preserve">نشر 3 فيديوهات + 5 إجابات في المجموعات</t>
  </si>
  <si>
    <t xml:space="preserve">19/08/2026</t>
  </si>
  <si>
    <t xml:space="preserve">5 حوايج لازم تشريهم قبل الشهر 8</t>
  </si>
  <si>
    <t xml:space="preserve">إعادة نشر أفضل فيديو تيك توك</t>
  </si>
  <si>
    <t xml:space="preserve">ستوري: لقطة طلبية عميلة</t>
  </si>
  <si>
    <t xml:space="preserve">تحليل أول أسبوع: أي فيديو نجح؟ كرّر صيغته</t>
  </si>
  <si>
    <t xml:space="preserve">20/08/2026</t>
  </si>
  <si>
    <t xml:space="preserve">سؤال للـ AI تاع نبضة: سؤال محرج</t>
  </si>
  <si>
    <t xml:space="preserve">5 إجابات في مجموعات الأمهات (بلا رابط)</t>
  </si>
  <si>
    <t xml:space="preserve">ريل: تسجيل شاشة للتطبيق</t>
  </si>
  <si>
    <t xml:space="preserve">21/08/2026</t>
  </si>
  <si>
    <t xml:space="preserve">يوم في حياة أم جديدة في الجزائر</t>
  </si>
  <si>
    <t xml:space="preserve">منشور عرض المتجر + توصيل 58 ولاية</t>
  </si>
  <si>
    <t xml:space="preserve">كاروسيل: خرافة vs حقيقة</t>
  </si>
  <si>
    <t xml:space="preserve">22/08/2026</t>
  </si>
  <si>
    <t xml:space="preserve">علامات الإباضة اللي ما تعرفهاش</t>
  </si>
  <si>
    <t xml:space="preserve">قائمة تحقّق قابلة للحفظ</t>
  </si>
  <si>
    <t xml:space="preserve">نشر 3 فيديوهات + متابعة الطلبات</t>
  </si>
  <si>
    <t xml:space="preserve">23/08/2026</t>
  </si>
  <si>
    <t xml:space="preserve">تشققات الحلمة: الحل في 3 خطوات</t>
  </si>
  <si>
    <t xml:space="preserve">تعريف بميزة من التطبيق</t>
  </si>
  <si>
    <t xml:space="preserve">🎬 يوم الإنتاج: تصوير + مونتاج + جدولة الأسبوع</t>
  </si>
  <si>
    <t xml:space="preserve">24/08/2026</t>
  </si>
  <si>
    <t xml:space="preserve">أكلات ترفع الحديد للحامل</t>
  </si>
  <si>
    <t xml:space="preserve">25/08/2026</t>
  </si>
  <si>
    <t xml:space="preserve">بكاء الرضيع: 5 أسباب وحلولها</t>
  </si>
  <si>
    <t xml:space="preserve">26/08/2026</t>
  </si>
  <si>
    <t xml:space="preserve">تسجيل شاشة: متابعة الحمل أسبوع بأسبوع</t>
  </si>
  <si>
    <t xml:space="preserve">💰 أول تعزيز مدفوع: 1,500 دج على أفضل منشورين</t>
  </si>
  <si>
    <t xml:space="preserve">27/08/2026</t>
  </si>
  <si>
    <t xml:space="preserve">الدورة غير منتظمة؟ واش يعني هذا</t>
  </si>
  <si>
    <t xml:space="preserve">28/08/2026</t>
  </si>
  <si>
    <t xml:space="preserve">نوم الرضيع: روتين يخدم فعلاً</t>
  </si>
  <si>
    <t xml:space="preserve">29/08/2026</t>
  </si>
  <si>
    <t xml:space="preserve">آلام الظهر في الحمل — تمارين آمنة</t>
  </si>
  <si>
    <t xml:space="preserve">30/08/2026</t>
  </si>
  <si>
    <t xml:space="preserve">رد على تعليق (Reply with video)</t>
  </si>
  <si>
    <t xml:space="preserve">31/08/2026</t>
  </si>
  <si>
    <t xml:space="preserve">Unboxing طلبية نبضة</t>
  </si>
  <si>
    <t xml:space="preserve">01/09/2026</t>
  </si>
  <si>
    <t xml:space="preserve">أعراض ما قبل الدورة (PMS) وكيفاش تخففيها</t>
  </si>
  <si>
    <t xml:space="preserve">02/09/2026</t>
  </si>
  <si>
    <t xml:space="preserve">مضخة الحليب: متى وكيفاش تستعمليها</t>
  </si>
  <si>
    <t xml:space="preserve">إطلاق عرض «أول 50 طلبية: توصيل مجاني»</t>
  </si>
  <si>
    <t xml:space="preserve">03/09/2026</t>
  </si>
  <si>
    <t xml:space="preserve">النفاس: واش نورمال وواش لا</t>
  </si>
  <si>
    <t xml:space="preserve">04/09/2026</t>
  </si>
  <si>
    <t xml:space="preserve">حساب موعد الولادة بدقيقة</t>
  </si>
  <si>
    <t xml:space="preserve">05/09/2026</t>
  </si>
  <si>
    <t xml:space="preserve">3 حوايج ما يقولهالكش حتى واحد على الحمل الأول</t>
  </si>
  <si>
    <t xml:space="preserve">06/09/2026</t>
  </si>
  <si>
    <t xml:space="preserve">الحفاضات: كيفاش تختاري المقاس الصح</t>
  </si>
  <si>
    <t xml:space="preserve">07/09/2026</t>
  </si>
  <si>
    <t xml:space="preserve">قصة عميلة من وهران</t>
  </si>
  <si>
    <t xml:space="preserve">08/09/2026</t>
  </si>
  <si>
    <t xml:space="preserve">الحمل والصيام: واش تقول الطبيبة</t>
  </si>
  <si>
    <t xml:space="preserve">09/09/2026</t>
  </si>
  <si>
    <t xml:space="preserve">تمارين ما بعد الولادة (آمنة)</t>
  </si>
  <si>
    <t xml:space="preserve">📊 مراجعة الشهر 1 — احسب CPA ومعدل تأكيد COD</t>
  </si>
  <si>
    <t xml:space="preserve">10/09/2026</t>
  </si>
  <si>
    <t xml:space="preserve">الرضاعة والخدمة: كيفاش تنظمي</t>
  </si>
  <si>
    <t xml:space="preserve">11/09/2026</t>
  </si>
  <si>
    <t xml:space="preserve">المرحلة 2 — التوسع</t>
  </si>
  <si>
    <t xml:space="preserve">علامات تستدعي زيارة الطبيبة فوراً</t>
  </si>
  <si>
    <t xml:space="preserve">مضاعفة الرابحين: 5 نسخ من كل فيديو ناجح</t>
  </si>
  <si>
    <t xml:space="preserve">12/09/2026</t>
  </si>
  <si>
    <t xml:space="preserve">التطعيمات: الجدول الجزائري</t>
  </si>
  <si>
    <t xml:space="preserve">13/09/2026</t>
  </si>
  <si>
    <t xml:space="preserve">الاكتئاب ما بعد الولادة — موضوع ما نتكلموش عليه</t>
  </si>
  <si>
    <t xml:space="preserve">14/09/2026</t>
  </si>
  <si>
    <t xml:space="preserve">اختيار حمالة صدر الرضاعة</t>
  </si>
  <si>
    <t xml:space="preserve">15/09/2026</t>
  </si>
  <si>
    <t xml:space="preserve">غثيان الصباح: 5 حلول تخدم</t>
  </si>
  <si>
    <t xml:space="preserve">📩 التواصل مع 10 مؤثرات صغيرات</t>
  </si>
  <si>
    <t xml:space="preserve">16/09/2026</t>
  </si>
  <si>
    <t xml:space="preserve">الشهر التاسع: التحضير النهائي</t>
  </si>
  <si>
    <t xml:space="preserve">17/09/2026</t>
  </si>
  <si>
    <t xml:space="preserve">18/09/2026</t>
  </si>
  <si>
    <t xml:space="preserve">19/09/2026</t>
  </si>
  <si>
    <t xml:space="preserve">🎒 حملة العودة المدرسية — الأم العاملة</t>
  </si>
  <si>
    <t xml:space="preserve">20/09/2026</t>
  </si>
  <si>
    <t xml:space="preserve">21/09/2026</t>
  </si>
  <si>
    <t xml:space="preserve">22/09/2026</t>
  </si>
  <si>
    <t xml:space="preserve">إطلاق قناة يوتيوب شورتس (إعادة نشر)</t>
  </si>
  <si>
    <t xml:space="preserve">23/09/2026</t>
  </si>
  <si>
    <t xml:space="preserve">24/09/2026</t>
  </si>
  <si>
    <t xml:space="preserve">25/09/2026</t>
  </si>
  <si>
    <t xml:space="preserve">26/09/2026</t>
  </si>
  <si>
    <t xml:space="preserve">طلب فيديو Unboxing من كل عميلة (خصم 15%)</t>
  </si>
  <si>
    <t xml:space="preserve">27/09/2026</t>
  </si>
  <si>
    <t xml:space="preserve">28/09/2026</t>
  </si>
  <si>
    <t xml:space="preserve">29/09/2026</t>
  </si>
  <si>
    <t xml:space="preserve">تحضير حملة أكتوبر الوردي (تصميمات + شراكة طبيبة)</t>
  </si>
  <si>
    <t xml:space="preserve">30/09/2026</t>
  </si>
  <si>
    <t xml:space="preserve">01/10/2026</t>
  </si>
  <si>
    <t xml:space="preserve">🎀 انطلاق حملة أكتوبر الوردي — أول أكتوبر</t>
  </si>
  <si>
    <t xml:space="preserve">02/10/2026</t>
  </si>
  <si>
    <t xml:space="preserve">03/10/2026</t>
  </si>
  <si>
    <t xml:space="preserve">🎀 سلسلة الفحص الذاتي للثدي (تعليمي، عالي المشاركة)</t>
  </si>
  <si>
    <t xml:space="preserve">04/10/2026</t>
  </si>
  <si>
    <t xml:space="preserve">05/10/2026</t>
  </si>
  <si>
    <t xml:space="preserve">🧪 أول اختبار إعلان تحويل: 500 دج/يوم × 7</t>
  </si>
  <si>
    <t xml:space="preserve">06/10/2026</t>
  </si>
  <si>
    <t xml:space="preserve">07/10/2026</t>
  </si>
  <si>
    <t xml:space="preserve">08/10/2026</t>
  </si>
  <si>
    <t xml:space="preserve">09/10/2026</t>
  </si>
  <si>
    <t xml:space="preserve">📊 مراجعة الشهر 2 — قرار زيادة أو إيقاف الإعلان</t>
  </si>
  <si>
    <t xml:space="preserve">10/10/2026</t>
  </si>
  <si>
    <t xml:space="preserve">11/10/2026</t>
  </si>
  <si>
    <t xml:space="preserve">المرحلة 3 — التحويل</t>
  </si>
  <si>
    <t xml:space="preserve">🎀 التزام علني: التبرع بمبلغ من كل طلبية خلال أكتوبر</t>
  </si>
  <si>
    <t xml:space="preserve">12/10/2026</t>
  </si>
  <si>
    <t xml:space="preserve">13/10/2026</t>
  </si>
  <si>
    <t xml:space="preserve">14/10/2026</t>
  </si>
  <si>
    <t xml:space="preserve">15/10/2026</t>
  </si>
  <si>
    <t xml:space="preserve">🎀 قصة ناجية / بث مع طبيبة (بإذنها)</t>
  </si>
  <si>
    <t xml:space="preserve">16/10/2026</t>
  </si>
  <si>
    <t xml:space="preserve">17/10/2026</t>
  </si>
  <si>
    <t xml:space="preserve">18/10/2026</t>
  </si>
  <si>
    <t xml:space="preserve">19/10/2026</t>
  </si>
  <si>
    <t xml:space="preserve">20/10/2026</t>
  </si>
  <si>
    <t xml:space="preserve">21/10/2026</t>
  </si>
  <si>
    <t xml:space="preserve">إطلاق برنامج الإحالة (كود خصم لكل عميلة)</t>
  </si>
  <si>
    <t xml:space="preserve">22/10/2026</t>
  </si>
  <si>
    <t xml:space="preserve">23/10/2026</t>
  </si>
  <si>
    <t xml:space="preserve">24/10/2026</t>
  </si>
  <si>
    <t xml:space="preserve">25/10/2026</t>
  </si>
  <si>
    <t xml:space="preserve">تفعيل إعادة الاستهداف (زوار المتجر بلا طلب)</t>
  </si>
  <si>
    <t xml:space="preserve">26/10/2026</t>
  </si>
  <si>
    <t xml:space="preserve">27/10/2026</t>
  </si>
  <si>
    <t xml:space="preserve">28/10/2026</t>
  </si>
  <si>
    <t xml:space="preserve">29/10/2026</t>
  </si>
  <si>
    <t xml:space="preserve">حملة طلب التقييمات على Google Play</t>
  </si>
  <si>
    <t xml:space="preserve">30/10/2026</t>
  </si>
  <si>
    <t xml:space="preserve">31/10/2026</t>
  </si>
  <si>
    <t xml:space="preserve">01/11/2026</t>
  </si>
  <si>
    <t xml:space="preserve">02/11/2026</t>
  </si>
  <si>
    <t xml:space="preserve">📊 المراجعة الكاملة + خطة الشهر 4</t>
  </si>
  <si>
    <t xml:space="preserve">#</t>
  </si>
  <si>
    <t xml:space="preserve">المحور</t>
  </si>
  <si>
    <t xml:space="preserve">الفكرة / العنوان</t>
  </si>
  <si>
    <t xml:space="preserve">الشريحة</t>
  </si>
  <si>
    <t xml:space="preserve">المنصة المثالية</t>
  </si>
  <si>
    <t xml:space="preserve">منتج مرتبط (بيع)</t>
  </si>
  <si>
    <t xml:space="preserve">تعليم صحي</t>
  </si>
  <si>
    <t xml:space="preserve">دورتك الشهرية: 4 مراحل واش يصرا في كل وحدة</t>
  </si>
  <si>
    <t xml:space="preserve">متابِعة الدورة</t>
  </si>
  <si>
    <t xml:space="preserve">IG كاروسيل</t>
  </si>
  <si>
    <t xml:space="preserve">علامات الإباضة الـ5 اللي تقدري تلاحظيها بنفسك</t>
  </si>
  <si>
    <t xml:space="preserve">تحاول الحمل</t>
  </si>
  <si>
    <t xml:space="preserve">تيك توك</t>
  </si>
  <si>
    <t xml:space="preserve">اختبار إباضة</t>
  </si>
  <si>
    <t xml:space="preserve">الحمل أسبوع بأسبوع: الثلث الأول</t>
  </si>
  <si>
    <t xml:space="preserve">حامل أول مرة</t>
  </si>
  <si>
    <t xml:space="preserve">فيتامينات</t>
  </si>
  <si>
    <t xml:space="preserve">نقص الحديد في الحمل: الأعراض والحل</t>
  </si>
  <si>
    <t xml:space="preserve">حامل</t>
  </si>
  <si>
    <t xml:space="preserve">مكملات حديد</t>
  </si>
  <si>
    <t xml:space="preserve">الغثيان الصباحي: 5 حلول مثبتة</t>
  </si>
  <si>
    <t xml:space="preserve">النفاس: الجدول الزمني للتعافي</t>
  </si>
  <si>
    <t xml:space="preserve">أم جديدة</t>
  </si>
  <si>
    <t xml:space="preserve">فيسبوك</t>
  </si>
  <si>
    <t xml:space="preserve">لوازم نفاس</t>
  </si>
  <si>
    <t xml:space="preserve">جدول التطعيمات في الجزائر</t>
  </si>
  <si>
    <t xml:space="preserve">الاكتئاب ما بعد الولادة: علامات لا تتجاهليها</t>
  </si>
  <si>
    <t xml:space="preserve">الرضاعة الطبيعية: أول 48 ساعة</t>
  </si>
  <si>
    <t xml:space="preserve">واقي حلمة</t>
  </si>
  <si>
    <t xml:space="preserve">الفحص الذاتي للثدي — خطوة بخطوة (أكتوبر)</t>
  </si>
  <si>
    <t xml:space="preserve">الكل</t>
  </si>
  <si>
    <t xml:space="preserve">الحمل والصيام: القواعد الآمنة</t>
  </si>
  <si>
    <t xml:space="preserve">الدورة غير المنتظمة: 6 أسباب</t>
  </si>
  <si>
    <t xml:space="preserve">تمارين آمنة في الحمل (بالفيديو)</t>
  </si>
  <si>
    <t xml:space="preserve">ريلز</t>
  </si>
  <si>
    <t xml:space="preserve">نوم الرضيع: بناء روتين في 7 أيام</t>
  </si>
  <si>
    <t xml:space="preserve">حل مشكلة</t>
  </si>
  <si>
    <t xml:space="preserve">واقي حلمة سيليكون</t>
  </si>
  <si>
    <t xml:space="preserve">احتقان الثدي: التخفيف الفوري</t>
  </si>
  <si>
    <t xml:space="preserve">مضخة حليب</t>
  </si>
  <si>
    <t xml:space="preserve">بكاء الرضيع: 5 أسباب و5 حلول</t>
  </si>
  <si>
    <t xml:space="preserve">المغص عند الرضيع: واش يخدم فعلاً</t>
  </si>
  <si>
    <t xml:space="preserve">قطرات مغص</t>
  </si>
  <si>
    <t xml:space="preserve">آلام الظهر في الشهر السابع</t>
  </si>
  <si>
    <t xml:space="preserve">حزام دعم الحمل</t>
  </si>
  <si>
    <t xml:space="preserve">تسلخات الحفاض: الوقاية والعلاج</t>
  </si>
  <si>
    <t xml:space="preserve">IG</t>
  </si>
  <si>
    <t xml:space="preserve">كريم حماية</t>
  </si>
  <si>
    <t xml:space="preserve">الأرق في الحمل: وضعيات النوم</t>
  </si>
  <si>
    <t xml:space="preserve">وسادة حمل</t>
  </si>
  <si>
    <t xml:space="preserve">تساقط الشعر بعد الولادة</t>
  </si>
  <si>
    <t xml:space="preserve">مكملات</t>
  </si>
  <si>
    <t xml:space="preserve">الرضاعة والرجوع للخدمة: خطة عملية</t>
  </si>
  <si>
    <t xml:space="preserve">أم عاملة</t>
  </si>
  <si>
    <t xml:space="preserve">مضخة + أكياس حفظ</t>
  </si>
  <si>
    <t xml:space="preserve">علامات التمدد: الوقاية من الشهر الرابع</t>
  </si>
  <si>
    <t xml:space="preserve">زيت/كريم</t>
  </si>
  <si>
    <t xml:space="preserve">منتجات</t>
  </si>
  <si>
    <t xml:space="preserve">Unboxing طلبية نبضة كاملة</t>
  </si>
  <si>
    <t xml:space="preserve">متعدد</t>
  </si>
  <si>
    <t xml:space="preserve">مضخة الحليب: يدوية ولا كهربائية؟</t>
  </si>
  <si>
    <t xml:space="preserve">حقيبة الولادة: القائمة الكاملة (جزء 1)</t>
  </si>
  <si>
    <t xml:space="preserve">حزمة الولادة</t>
  </si>
  <si>
    <t xml:space="preserve">حقيبة الولادة: القائمة الكاملة (جزء 2)</t>
  </si>
  <si>
    <t xml:space="preserve">الحفاضات: كيفاش تختاري المقاس</t>
  </si>
  <si>
    <t xml:space="preserve">حفاضات</t>
  </si>
  <si>
    <t xml:space="preserve">ملابس المولود: كم قطعة تحتاجين فعلاً؟</t>
  </si>
  <si>
    <t xml:space="preserve">ملابس مولود</t>
  </si>
  <si>
    <t xml:space="preserve">حمالة صدر الرضاعة: كيفاش تختاري</t>
  </si>
  <si>
    <t xml:space="preserve">حمالة رضاعة</t>
  </si>
  <si>
    <t xml:space="preserve">مقارنة سعر: نبضة vs الصيدلية</t>
  </si>
  <si>
    <t xml:space="preserve">أرخص 5 منتجات ضرورية للمولود</t>
  </si>
  <si>
    <t xml:space="preserve">جهاز قياس الحرارة: أي نوع للرضيع؟</t>
  </si>
  <si>
    <t xml:space="preserve">ترمومتر</t>
  </si>
  <si>
    <t xml:space="preserve">التطبيق</t>
  </si>
  <si>
    <t xml:space="preserve">تسجيل شاشة: كيفاش تحسبي نهار الإباضة</t>
  </si>
  <si>
    <t xml:space="preserve">سألت الـ AI تاع نبضة سؤال محرج — شوفي الجواب</t>
  </si>
  <si>
    <t xml:space="preserve">متابعة الحمل أسبوع بأسبوع داخل التطبيق</t>
  </si>
  <si>
    <t xml:space="preserve">التذكيرات: التطبيق يقولك قبل ما تجيك</t>
  </si>
  <si>
    <t xml:space="preserve">مجتمع نبضة: اسألي بلا خجل وبلا اسم</t>
  </si>
  <si>
    <t xml:space="preserve">الأطباء داخل التطبيق: كيفاش تستشيري</t>
  </si>
  <si>
    <t xml:space="preserve">المتجر داخل التطبيق: اطلبي وادفعي عند الاستلام</t>
  </si>
  <si>
    <t xml:space="preserve">3 مميزات ما تعرفيهاش في نبضة</t>
  </si>
  <si>
    <t xml:space="preserve">مجتمع/قصص</t>
  </si>
  <si>
    <t xml:space="preserve">لماذا صنعت نبضة — القصة الكاملة</t>
  </si>
  <si>
    <t xml:space="preserve">قصة أم من وهران</t>
  </si>
  <si>
    <t xml:space="preserve">مراجعة عميلة (لقطة شاشة)</t>
  </si>
  <si>
    <t xml:space="preserve">IG ستوري</t>
  </si>
  <si>
    <t xml:space="preserve">سؤال المجتمع: واش أصعب حاجة في الحمل؟</t>
  </si>
  <si>
    <t xml:space="preserve">من وراء الكواليس: تحضير الطلبيات</t>
  </si>
  <si>
    <t xml:space="preserve">رد على تعليق بفيديو</t>
  </si>
  <si>
    <t xml:space="preserve">حسب السؤال</t>
  </si>
  <si>
    <t xml:space="preserve">جلسة أسئلة وأجوبة مع قابلة</t>
  </si>
  <si>
    <t xml:space="preserve">فيسبوك مباشر</t>
  </si>
  <si>
    <t xml:space="preserve">تحدي: شاركي نصيحة لأم جديدة</t>
  </si>
  <si>
    <t xml:space="preserve">احتفال: وصلنا 1000 عضوة 🎉</t>
  </si>
  <si>
    <t xml:space="preserve">كل المنصات</t>
  </si>
  <si>
    <t xml:space="preserve">خرافات</t>
  </si>
  <si>
    <t xml:space="preserve">الرضاعة تمنع الحمل؟</t>
  </si>
  <si>
    <t xml:space="preserve">شكل البطن يحدد جنس المولود؟</t>
  </si>
  <si>
    <t xml:space="preserve">الحامل تاكل على اثنين؟</t>
  </si>
  <si>
    <t xml:space="preserve">الحرقة تعني شعر كثيف للمولود؟</t>
  </si>
  <si>
    <t xml:space="preserve">ما تقدريش تصبغي شعرك وأنت حامل؟</t>
  </si>
  <si>
    <t xml:space="preserve">الحمام الساخن خطر على الحمل؟</t>
  </si>
  <si>
    <t xml:space="preserve">موسمي</t>
  </si>
  <si>
    <t xml:space="preserve">🎒 العودة المدرسية: الأم اللي راجعة للخدمة</t>
  </si>
  <si>
    <t xml:space="preserve">مضخة + أكياس</t>
  </si>
  <si>
    <t xml:space="preserve">🎀 أكتوبر الوردي: لماذا يهمك الفحص</t>
  </si>
  <si>
    <t xml:space="preserve">🎀 أكتوبر: قصة ناجية (بإذنها)</t>
  </si>
  <si>
    <t xml:space="preserve">🎀 أكتوبر: نتبرع من كل طلبية</t>
  </si>
  <si>
    <t xml:space="preserve">الشتاء: حماية الرضيع من البرد</t>
  </si>
  <si>
    <t xml:space="preserve">ملابس شتوية</t>
  </si>
  <si>
    <t xml:space="preserve">نهاية السنة: مراجعة صحتك النسائية</t>
  </si>
  <si>
    <t xml:space="preserve">عروض</t>
  </si>
  <si>
    <t xml:space="preserve">توصيل مجاني لأول 50 طلبية</t>
  </si>
  <si>
    <t xml:space="preserve">حزمة حقيبة الولادة بسعر خاص</t>
  </si>
  <si>
    <t xml:space="preserve">حزمة</t>
  </si>
  <si>
    <t xml:space="preserve">كود إحالة: اربحي 300 دج</t>
  </si>
  <si>
    <t xml:space="preserve">واتساب</t>
  </si>
  <si>
    <t xml:space="preserve">نوع الـ Hook</t>
  </si>
  <si>
    <t xml:space="preserve">القالب (بالدارجة)</t>
  </si>
  <si>
    <t xml:space="preserve">مثال جاهز</t>
  </si>
  <si>
    <t xml:space="preserve">لماذا يعمل</t>
  </si>
  <si>
    <t xml:space="preserve">الخطأ الشائع</t>
  </si>
  <si>
    <t xml:space="preserve">«[رقم] أخطاء تديرهم كل [شريحة] بلا ما تعرف»</t>
  </si>
  <si>
    <t xml:space="preserve">«3 أخطاء تديرهم كل حامل جزائرية بلا ما تعرف»</t>
  </si>
  <si>
    <t xml:space="preserve">الخوف من الخطأ أقوى من الرغبة في المكسب</t>
  </si>
  <si>
    <t xml:space="preserve">الطمأنة</t>
  </si>
  <si>
    <t xml:space="preserve">«واش راكِ تحسي بيه... راهو نورمال»</t>
  </si>
  <si>
    <t xml:space="preserve">«الوجع في الجنب في الشهر الخامس؟ راهو نورمال»</t>
  </si>
  <si>
    <t xml:space="preserve">يخاطب قلقاً حقيقياً موجود الآن</t>
  </si>
  <si>
    <t xml:space="preserve">التحذير</t>
  </si>
  <si>
    <t xml:space="preserve">«ما تشريش [منتج] قبل ما تشوفي هذا»</t>
  </si>
  <si>
    <t xml:space="preserve">«ما تشريش مضخة حليب قبل ما تشوفي هذا»</t>
  </si>
  <si>
    <t xml:space="preserve">يوقف السكرول فوراً</t>
  </si>
  <si>
    <t xml:space="preserve">السرّ</t>
  </si>
  <si>
    <t xml:space="preserve">«حتى واحد ما قالهالي هذي على [موضوع]»</t>
  </si>
  <si>
    <t xml:space="preserve">«حتى واحد ما قالهالي هذي على النفاس»</t>
  </si>
  <si>
    <t xml:space="preserve">حب الاطلاع على المخفي</t>
  </si>
  <si>
    <t xml:space="preserve">POV</t>
  </si>
  <si>
    <t xml:space="preserve">«POV: راكِ [وضعية] وما تعرفي والو»</t>
  </si>
  <si>
    <t xml:space="preserve">«POV: راكِ حامل لأول مرة وما تعرفي والو»</t>
  </si>
  <si>
    <t xml:space="preserve">تماهٍ فوري مع الشخصية</t>
  </si>
  <si>
    <t xml:space="preserve">العدّ التنازلي</t>
  </si>
  <si>
    <t xml:space="preserve">«[رقم] حوايج لازم [فعل] قبل [وقت]»</t>
  </si>
  <si>
    <t xml:space="preserve">«5 حوايج لازم تشريهم قبل الشهر 8»</t>
  </si>
  <si>
    <t xml:space="preserve">وعد بمعلومة محددة وقابلة للحفظ</t>
  </si>
  <si>
    <t xml:space="preserve">خرافة vs حقيقة</t>
  </si>
  <si>
    <t xml:space="preserve">«قالولك [خرافة]؟ الحقيقة هي...»</t>
  </si>
  <si>
    <t xml:space="preserve">«قالولك الرضاعة تمنع الحمل؟ الحقيقة هي...»</t>
  </si>
  <si>
    <t xml:space="preserve">الجدل يولّد تعليقات = وصول</t>
  </si>
  <si>
    <t xml:space="preserve">المقارنة</t>
  </si>
  <si>
    <t xml:space="preserve">«[أ] ولا [ب]؟ الفرق الحقيقي»</t>
  </si>
  <si>
    <t xml:space="preserve">«مضخة يدوية ولا كهربائية؟ الفرق الحقيقي»</t>
  </si>
  <si>
    <t xml:space="preserve">نية شراء عالية جداً</t>
  </si>
  <si>
    <t xml:space="preserve">السؤال المباشر</t>
  </si>
  <si>
    <t xml:space="preserve">«شكون فيكم [تجربة]؟»</t>
  </si>
  <si>
    <t xml:space="preserve">«شكون فيكم عانت من تشققات الحلمة؟»</t>
  </si>
  <si>
    <t xml:space="preserve">يستدعي تعليقاً = خوارزمية</t>
  </si>
  <si>
    <t xml:space="preserve">قبل/بعد</t>
  </si>
  <si>
    <t xml:space="preserve">«قبل ما نعرف [حل]... وبعد»</t>
  </si>
  <si>
    <t xml:space="preserve">«قبل ما نعرف واقي الحلمة... وبعد»</t>
  </si>
  <si>
    <t xml:space="preserve">دليل بصري على النتيجة</t>
  </si>
  <si>
    <t xml:space="preserve">العدد الصادم</t>
  </si>
  <si>
    <t xml:space="preserve">«[رقم]% من [شريحة] ما يعرفوش هذا»</t>
  </si>
  <si>
    <t xml:space="preserve">«90% من الحوامل ما يعرفوش هذي العلامة»</t>
  </si>
  <si>
    <t xml:space="preserve">الإحصائية تشدّ الانتباه</t>
  </si>
  <si>
    <t xml:space="preserve">النداء المباشر</t>
  </si>
  <si>
    <t xml:space="preserve">«إذا راكِ [وضعية]، هذا الفيديو ليكِ»</t>
  </si>
  <si>
    <t xml:space="preserve">«إذا راكِ في الشهر السابع، هذا الفيديو ليكِ»</t>
  </si>
  <si>
    <t xml:space="preserve">فلترة = جمهور مستهدف بدقة</t>
  </si>
  <si>
    <t xml:space="preserve">قصة</t>
  </si>
  <si>
    <t xml:space="preserve">«وحدة بعثتلي وقالتلي...»</t>
  </si>
  <si>
    <t xml:space="preserve">«وحدة من سطيف بعثتلي وقالتلي: نحس روحي وحدي»</t>
  </si>
  <si>
    <t xml:space="preserve">القصة تُتذكّر 22 مرة أكثر من الحقيقة</t>
  </si>
  <si>
    <t xml:space="preserve">تسجيل شاشة</t>
  </si>
  <si>
    <t xml:space="preserve">«شوفي كيفاش [التطبيق] يدير [شيء]»</t>
  </si>
  <si>
    <t xml:space="preserve">«شوفي كيفاش نبضة تقولك نهار الإباضة»</t>
  </si>
  <si>
    <t xml:space="preserve">إثبات بصري = ثقة</t>
  </si>
  <si>
    <t xml:space="preserve">الاعتراض</t>
  </si>
  <si>
    <t xml:space="preserve">«تقولي [منتج] غالي؟ احسبي معايا»</t>
  </si>
  <si>
    <t xml:space="preserve">«تقولي المضخة غالية؟ احسبي معايا»</t>
  </si>
  <si>
    <t xml:space="preserve">يعالج أكبر مانع للشراء</t>
  </si>
  <si>
    <t xml:space="preserve">الاسم / الحساب</t>
  </si>
  <si>
    <t xml:space="preserve">المنصة</t>
  </si>
  <si>
    <t xml:space="preserve">المتابعون</t>
  </si>
  <si>
    <t xml:space="preserve">معدل التفاعل %</t>
  </si>
  <si>
    <t xml:space="preserve">النوع</t>
  </si>
  <si>
    <t xml:space="preserve">تاريخ التواصل</t>
  </si>
  <si>
    <t xml:space="preserve">العرض المقدم</t>
  </si>
  <si>
    <t xml:space="preserve">كود الخصم</t>
  </si>
  <si>
    <t xml:space="preserve">طلبات من الكود</t>
  </si>
  <si>
    <t xml:space="preserve">1</t>
  </si>
  <si>
    <t xml:space="preserve">@مثال_أم_جزائرية</t>
  </si>
  <si>
    <t xml:space="preserve">أم صانعة محتوى</t>
  </si>
  <si>
    <t xml:space="preserve">لم يُتواصل</t>
  </si>
  <si>
    <t xml:space="preserve">منتج مجاني + عمولة 10%</t>
  </si>
  <si>
    <t xml:space="preserve">NABDA10</t>
  </si>
  <si>
    <t xml:space="preserve">مثال — احذفه</t>
  </si>
  <si>
    <t xml:space="preserve">الخانات الزرقاء = تُملأ يدوياً</t>
  </si>
  <si>
    <t xml:space="preserve">فلترة: معدل تفاعل أقل من 2% = حساب مشبوه (متابعون مشتراة)</t>
  </si>
  <si>
    <t xml:space="preserve">اطلبي دائماً لقطة شاشة من إحصائيات الجمهور للتأكد أنه جزائري</t>
  </si>
  <si>
    <t xml:space="preserve">الأسبوع</t>
  </si>
  <si>
    <t xml:space="preserve">تاريخ البداية</t>
  </si>
  <si>
    <t xml:space="preserve">فيديوهات منشورة</t>
  </si>
  <si>
    <t xml:space="preserve">إجمالي المشاهدات</t>
  </si>
  <si>
    <t xml:space="preserve">متابعو تيك توك</t>
  </si>
  <si>
    <t xml:space="preserve">متابعو إنستغرام</t>
  </si>
  <si>
    <t xml:space="preserve">متابعو فيسبوك</t>
  </si>
  <si>
    <t xml:space="preserve">أعضاء المجموعة</t>
  </si>
  <si>
    <t xml:space="preserve">تحميلات التطبيق</t>
  </si>
  <si>
    <t xml:space="preserve">زيارات المتجر</t>
  </si>
  <si>
    <t xml:space="preserve">طلبات مؤكدة ⭐</t>
  </si>
  <si>
    <t xml:space="preserve">إنفاق (دج)</t>
  </si>
  <si>
    <t xml:space="preserve">تكلفة الطلبية</t>
  </si>
  <si>
    <t xml:space="preserve">معدل التحويل %</t>
  </si>
  <si>
    <t xml:space="preserve">المجموع</t>
  </si>
  <si>
    <t xml:space="preserve">الخانات الزرقاء = تُملأ يدوياً كل يوم أحد | الرمادية تُحسب تلقائياً</t>
  </si>
  <si>
    <t xml:space="preserve">⭐ الطلبات المؤكدة = المؤشر الشمالي. كل شيء آخر ثانوي.</t>
  </si>
  <si>
    <t xml:space="preserve">الأهداف: شهر 1 = 25 طلبية | شهر 2 = 90 | شهر 3 = 250</t>
  </si>
  <si>
    <t xml:space="preserve">البند</t>
  </si>
  <si>
    <t xml:space="preserve">الشهر 1 (مخطط)</t>
  </si>
  <si>
    <t xml:space="preserve">الشهر 1 (فعلي)</t>
  </si>
  <si>
    <t xml:space="preserve">الشهر 2 (مخطط)</t>
  </si>
  <si>
    <t xml:space="preserve">الشهر 2 (فعلي)</t>
  </si>
  <si>
    <t xml:space="preserve">الشهر 3 (مخطط)</t>
  </si>
  <si>
    <t xml:space="preserve">الشهر 3 (فعلي)</t>
  </si>
  <si>
    <t xml:space="preserve">ملاحظة</t>
  </si>
  <si>
    <t xml:space="preserve">تعزيز المنشورات الرابحة</t>
  </si>
  <si>
    <t xml:space="preserve">عزّز فقط ما تجاوز 5% تفاعل عضوياً</t>
  </si>
  <si>
    <t xml:space="preserve">مؤثرات (منتجات + عمولة)</t>
  </si>
  <si>
    <t xml:space="preserve">لا تدفع نقداً مقدماً — منتج + عمولة</t>
  </si>
  <si>
    <t xml:space="preserve">اختبار إعلان تحويل</t>
  </si>
  <si>
    <t xml:space="preserve">فقط بعد إثبات المحتوى العضوي</t>
  </si>
  <si>
    <t xml:space="preserve">أدوات وأصول</t>
  </si>
  <si>
    <t xml:space="preserve">CapCut Pro، خطوط، صور</t>
  </si>
  <si>
    <t xml:space="preserve">احتياطي / حملة أكتوبر</t>
  </si>
  <si>
    <t xml:space="preserve">احتفظ به لفرصة غير متوقعة</t>
  </si>
  <si>
    <t xml:space="preserve">⚠️ مشكلة الدفع لميتا في الجزائر</t>
  </si>
  <si>
    <t xml:space="preserve">ميتا لا تقبل بطاقات CIB أو الذهبية — الدفع بالعملة الصعبة عبر بطاقة دولية.</t>
  </si>
  <si>
    <t xml:space="preserve">الحل الأبسط: استعمال الحساب الإعلاني الموجود (Big Shopping Algérie BM).</t>
  </si>
  <si>
    <t xml:space="preserve">بدائل: بطاقة دولية (Wise/Payoneer)، وكالة جزائرية تبيع رصيداً بالدينار، أو شريك بحساب دولي.</t>
  </si>
  <si>
    <t xml:space="preserve">لا تقلّب طرق الدفع على نفس الحساب — ميتا تربط ذلك بالاحتيال وتوقف الحساب.</t>
  </si>
  <si>
    <t xml:space="preserve">الاقتصاد الوحدوي — احسبه قبل أي إنفاق</t>
  </si>
  <si>
    <t xml:space="preserve">الربح الصافي للطلبية = (سعر البيع − سعر التكلفة) − توصيل المرتجعات − تكلفة الإعلان للطلبية</t>
  </si>
  <si>
    <t xml:space="preserve">معدل تأكيد الدفع عند الاستلام في الجزائر: 50%–65% عادةً.</t>
  </si>
  <si>
    <t xml:space="preserve">إذا كان الربح الصافي أقل من 400 دج للطلبية، الإعلان المدفوع لن يكون مربحاً.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</si>
</sst>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0195B"/>
      <name val="Arial"/>
      <family val="0"/>
      <charset val="1"/>
    </font>
    <font>
      <b val="true"/>
      <sz val="10"/>
      <color rgb="FF212121"/>
      <name val="Arial"/>
      <family val="0"/>
      <charset val="1"/>
    </font>
    <font>
      <sz val="10"/>
      <color rgb="FF212121"/>
      <name val="Arial"/>
      <family val="0"/>
      <charset val="1"/>
    </font>
    <font>
      <b val="true"/>
      <sz val="12"/>
      <color rgb="FF00897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9E9E9E"/>
      <name val="Arial"/>
      <family val="0"/>
      <charset val="1"/>
    </font>
    <font>
      <sz val="9"/>
      <color rgb="FF61616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E0F2F1"/>
        <bgColor rgb="FFE3F2FD"/>
      </patternFill>
    </fill>
    <fill>
      <patternFill patternType="solid">
        <fgColor rgb="FFE0195B"/>
        <bgColor rgb="FF993366"/>
      </patternFill>
    </fill>
    <fill>
      <patternFill patternType="solid">
        <fgColor rgb="FFFFF3CD"/>
        <bgColor rgb="FFFFF9C4"/>
      </patternFill>
    </fill>
    <fill>
      <patternFill patternType="solid">
        <fgColor rgb="FFFFF9C4"/>
        <bgColor rgb="FFFFF3CD"/>
      </patternFill>
    </fill>
    <fill>
      <patternFill patternType="solid">
        <fgColor rgb="FFFCE4EC"/>
        <bgColor rgb="FFEDE7F6"/>
      </patternFill>
    </fill>
    <fill>
      <patternFill patternType="solid">
        <fgColor rgb="FFEDE7F6"/>
        <bgColor rgb="FFFCE4EC"/>
      </patternFill>
    </fill>
    <fill>
      <patternFill patternType="solid">
        <fgColor rgb="FF00897B"/>
        <bgColor rgb="FF008080"/>
      </patternFill>
    </fill>
    <fill>
      <patternFill patternType="solid">
        <fgColor rgb="FFFFFFFF"/>
        <bgColor rgb="FFF5F5F5"/>
      </patternFill>
    </fill>
    <fill>
      <patternFill patternType="solid">
        <fgColor rgb="FFE3F2FD"/>
        <bgColor rgb="FFE0F2F1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7" fillId="2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0" fillId="2" borderId="0" xfId="0" applyFont="fals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6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5" fillId="6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5" fillId="5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7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5" fillId="7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9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9" fillId="1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1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6" fillId="11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6" fillId="11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5" fillId="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0195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97B"/>
      <rgbColor rgb="FFBDBDBD"/>
      <rgbColor rgb="FF808080"/>
      <rgbColor rgb="FF9999FF"/>
      <rgbColor rgb="FF993366"/>
      <rgbColor rgb="FFFFF9C4"/>
      <rgbColor rgb="FFE0F2F1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F5F5F5"/>
      <rgbColor rgb="FFFFF3CD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16161"/>
      <rgbColor rgb="FF9E9E9E"/>
      <rgbColor rgb="FF003366"/>
      <rgbColor rgb="FF339966"/>
      <rgbColor rgb="FF003300"/>
      <rgbColor rgb="FF333300"/>
      <rgbColor rgb="FF993300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5"/>
  </cols>
  <sheetData>
    <row r="1" customFormat="false" ht="21.75" hidden="false" customHeight="true" outlineLevel="0" collapsed="false">
      <c r="A1" s="1" t="s">
        <v>0</v>
      </c>
      <c r="B1" s="1"/>
    </row>
    <row r="2" customFormat="false" ht="21.75" hidden="false" customHeight="true" outlineLevel="0" collapsed="false">
      <c r="A2" s="2"/>
      <c r="B2" s="3"/>
    </row>
    <row r="3" customFormat="false" ht="21.75" hidden="false" customHeight="true" outlineLevel="0" collapsed="false">
      <c r="A3" s="2" t="s">
        <v>1</v>
      </c>
      <c r="B3" s="3" t="s">
        <v>2</v>
      </c>
    </row>
    <row r="4" customFormat="false" ht="21.75" hidden="false" customHeight="true" outlineLevel="0" collapsed="false">
      <c r="A4" s="2" t="s">
        <v>3</v>
      </c>
      <c r="B4" s="3" t="s">
        <v>4</v>
      </c>
    </row>
    <row r="5" customFormat="false" ht="21.75" hidden="false" customHeight="true" outlineLevel="0" collapsed="false">
      <c r="A5" s="2" t="s">
        <v>5</v>
      </c>
      <c r="B5" s="3" t="s">
        <v>6</v>
      </c>
    </row>
    <row r="6" customFormat="false" ht="21.75" hidden="false" customHeight="true" outlineLevel="0" collapsed="false">
      <c r="A6" s="2" t="s">
        <v>7</v>
      </c>
      <c r="B6" s="3" t="s">
        <v>8</v>
      </c>
    </row>
    <row r="7" customFormat="false" ht="21.75" hidden="false" customHeight="true" outlineLevel="0" collapsed="false">
      <c r="A7" s="2"/>
      <c r="B7" s="3"/>
    </row>
    <row r="8" customFormat="false" ht="21.75" hidden="false" customHeight="true" outlineLevel="0" collapsed="false">
      <c r="A8" s="4" t="s">
        <v>9</v>
      </c>
      <c r="B8" s="5"/>
    </row>
    <row r="9" customFormat="false" ht="21.75" hidden="false" customHeight="true" outlineLevel="0" collapsed="false">
      <c r="A9" s="2" t="s">
        <v>10</v>
      </c>
      <c r="B9" s="3" t="s">
        <v>11</v>
      </c>
    </row>
    <row r="10" customFormat="false" ht="21.75" hidden="false" customHeight="true" outlineLevel="0" collapsed="false">
      <c r="A10" s="2" t="s">
        <v>12</v>
      </c>
      <c r="B10" s="3" t="s">
        <v>13</v>
      </c>
    </row>
    <row r="11" customFormat="false" ht="21.75" hidden="false" customHeight="true" outlineLevel="0" collapsed="false">
      <c r="A11" s="2" t="s">
        <v>14</v>
      </c>
      <c r="B11" s="3" t="s">
        <v>15</v>
      </c>
    </row>
    <row r="12" customFormat="false" ht="21.75" hidden="false" customHeight="true" outlineLevel="0" collapsed="false">
      <c r="A12" s="2" t="s">
        <v>16</v>
      </c>
      <c r="B12" s="3" t="s">
        <v>17</v>
      </c>
    </row>
    <row r="13" customFormat="false" ht="21.75" hidden="false" customHeight="true" outlineLevel="0" collapsed="false">
      <c r="A13" s="2" t="s">
        <v>18</v>
      </c>
      <c r="B13" s="3" t="s">
        <v>19</v>
      </c>
    </row>
    <row r="14" customFormat="false" ht="21.75" hidden="false" customHeight="true" outlineLevel="0" collapsed="false">
      <c r="A14" s="2" t="s">
        <v>20</v>
      </c>
      <c r="B14" s="3" t="s">
        <v>21</v>
      </c>
    </row>
    <row r="15" customFormat="false" ht="21.75" hidden="false" customHeight="true" outlineLevel="0" collapsed="false">
      <c r="A15" s="2"/>
      <c r="B15" s="3"/>
    </row>
    <row r="16" customFormat="false" ht="21.75" hidden="false" customHeight="true" outlineLevel="0" collapsed="false">
      <c r="A16" s="2" t="s">
        <v>22</v>
      </c>
      <c r="B16" s="3" t="s">
        <v>23</v>
      </c>
    </row>
    <row r="17" customFormat="false" ht="21.75" hidden="false" customHeight="true" outlineLevel="0" collapsed="false">
      <c r="A17" s="2" t="s">
        <v>24</v>
      </c>
      <c r="B17" s="3" t="s">
        <v>25</v>
      </c>
    </row>
    <row r="18" customFormat="false" ht="21.75" hidden="false" customHeight="true" outlineLevel="0" collapsed="false">
      <c r="A18" s="2" t="s">
        <v>26</v>
      </c>
      <c r="B18" s="3" t="s">
        <v>27</v>
      </c>
    </row>
    <row r="19" customFormat="false" ht="21.75" hidden="false" customHeight="true" outlineLevel="0" collapsed="false">
      <c r="A19" s="2" t="s">
        <v>28</v>
      </c>
      <c r="B19" s="3" t="s">
        <v>29</v>
      </c>
    </row>
    <row r="20" customFormat="false" ht="21.75" hidden="false" customHeight="true" outlineLevel="0" collapsed="false">
      <c r="A20" s="2" t="s">
        <v>30</v>
      </c>
      <c r="B20" s="3" t="s">
        <v>31</v>
      </c>
    </row>
    <row r="21" customFormat="false" ht="21.75" hidden="false" customHeight="true" outlineLevel="0" collapsed="false">
      <c r="A21" s="2"/>
      <c r="B21" s="3"/>
    </row>
    <row r="22" customFormat="false" ht="21.75" hidden="false" customHeight="true" outlineLevel="0" collapsed="false">
      <c r="A22" s="2" t="s">
        <v>32</v>
      </c>
      <c r="B22" s="3" t="s">
        <v>33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46"/>
    <col collapsed="false" customWidth="true" hidden="false" outlineLevel="0" max="6" min="6" style="0" width="38"/>
    <col collapsed="false" customWidth="true" hidden="false" outlineLevel="0" max="7" min="7" style="0" width="32"/>
    <col collapsed="false" customWidth="true" hidden="false" outlineLevel="0" max="8" min="8" style="0" width="42"/>
    <col collapsed="false" customWidth="true" hidden="false" outlineLevel="0" max="9" min="9" style="0" width="12"/>
    <col collapsed="false" customWidth="true" hidden="false" outlineLevel="0" max="10" min="10" style="0" width="26"/>
  </cols>
  <sheetData>
    <row r="1" customFormat="false" ht="30" hidden="false" customHeight="true" outlineLevel="0" collapsed="false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</row>
    <row r="2" customFormat="false" ht="31.5" hidden="false" customHeight="true" outlineLevel="0" collapsed="false">
      <c r="A2" s="7" t="n">
        <v>1</v>
      </c>
      <c r="B2" s="7" t="s">
        <v>44</v>
      </c>
      <c r="C2" s="7" t="s">
        <v>45</v>
      </c>
      <c r="D2" s="8" t="s">
        <v>46</v>
      </c>
      <c r="E2" s="8" t="s">
        <v>47</v>
      </c>
      <c r="F2" s="8" t="s">
        <v>47</v>
      </c>
      <c r="G2" s="8" t="s">
        <v>47</v>
      </c>
      <c r="H2" s="8" t="s">
        <v>48</v>
      </c>
      <c r="I2" s="7" t="s">
        <v>49</v>
      </c>
      <c r="J2" s="8"/>
    </row>
    <row r="3" customFormat="false" ht="31.5" hidden="false" customHeight="true" outlineLevel="0" collapsed="false">
      <c r="A3" s="7" t="n">
        <v>2</v>
      </c>
      <c r="B3" s="7" t="s">
        <v>50</v>
      </c>
      <c r="C3" s="7" t="s">
        <v>51</v>
      </c>
      <c r="D3" s="8" t="s">
        <v>46</v>
      </c>
      <c r="E3" s="8" t="s">
        <v>47</v>
      </c>
      <c r="F3" s="8" t="s">
        <v>47</v>
      </c>
      <c r="G3" s="8" t="s">
        <v>47</v>
      </c>
      <c r="H3" s="8" t="s">
        <v>52</v>
      </c>
      <c r="I3" s="7" t="s">
        <v>49</v>
      </c>
      <c r="J3" s="8"/>
    </row>
    <row r="4" customFormat="false" ht="31.5" hidden="false" customHeight="true" outlineLevel="0" collapsed="false">
      <c r="A4" s="7" t="n">
        <v>3</v>
      </c>
      <c r="B4" s="7" t="s">
        <v>53</v>
      </c>
      <c r="C4" s="7" t="s">
        <v>54</v>
      </c>
      <c r="D4" s="8" t="s">
        <v>46</v>
      </c>
      <c r="E4" s="8" t="s">
        <v>47</v>
      </c>
      <c r="F4" s="8" t="s">
        <v>47</v>
      </c>
      <c r="G4" s="8" t="s">
        <v>47</v>
      </c>
      <c r="H4" s="8" t="s">
        <v>55</v>
      </c>
      <c r="I4" s="7" t="s">
        <v>49</v>
      </c>
      <c r="J4" s="8"/>
    </row>
    <row r="5" customFormat="false" ht="31.5" hidden="false" customHeight="true" outlineLevel="0" collapsed="false">
      <c r="A5" s="7" t="n">
        <v>4</v>
      </c>
      <c r="B5" s="7" t="s">
        <v>56</v>
      </c>
      <c r="C5" s="7" t="s">
        <v>57</v>
      </c>
      <c r="D5" s="8" t="s">
        <v>46</v>
      </c>
      <c r="E5" s="8" t="s">
        <v>47</v>
      </c>
      <c r="F5" s="8" t="s">
        <v>47</v>
      </c>
      <c r="G5" s="8" t="s">
        <v>47</v>
      </c>
      <c r="H5" s="8" t="s">
        <v>58</v>
      </c>
      <c r="I5" s="7" t="s">
        <v>49</v>
      </c>
      <c r="J5" s="8"/>
    </row>
    <row r="6" customFormat="false" ht="31.5" hidden="false" customHeight="true" outlineLevel="0" collapsed="false">
      <c r="A6" s="7" t="n">
        <v>5</v>
      </c>
      <c r="B6" s="7" t="s">
        <v>59</v>
      </c>
      <c r="C6" s="7" t="s">
        <v>60</v>
      </c>
      <c r="D6" s="8" t="s">
        <v>46</v>
      </c>
      <c r="E6" s="8" t="s">
        <v>47</v>
      </c>
      <c r="F6" s="8" t="s">
        <v>47</v>
      </c>
      <c r="G6" s="8" t="s">
        <v>47</v>
      </c>
      <c r="H6" s="9" t="s">
        <v>61</v>
      </c>
      <c r="I6" s="7" t="s">
        <v>49</v>
      </c>
      <c r="J6" s="8"/>
    </row>
    <row r="7" customFormat="false" ht="31.5" hidden="false" customHeight="true" outlineLevel="0" collapsed="false">
      <c r="A7" s="7" t="n">
        <v>6</v>
      </c>
      <c r="B7" s="7" t="s">
        <v>62</v>
      </c>
      <c r="C7" s="7" t="s">
        <v>63</v>
      </c>
      <c r="D7" s="8" t="s">
        <v>46</v>
      </c>
      <c r="E7" s="8" t="s">
        <v>47</v>
      </c>
      <c r="F7" s="8" t="s">
        <v>47</v>
      </c>
      <c r="G7" s="8" t="s">
        <v>47</v>
      </c>
      <c r="H7" s="8" t="s">
        <v>64</v>
      </c>
      <c r="I7" s="7" t="s">
        <v>49</v>
      </c>
      <c r="J7" s="8"/>
    </row>
    <row r="8" customFormat="false" ht="31.5" hidden="false" customHeight="true" outlineLevel="0" collapsed="false">
      <c r="A8" s="7" t="n">
        <v>7</v>
      </c>
      <c r="B8" s="7" t="s">
        <v>65</v>
      </c>
      <c r="C8" s="7" t="s">
        <v>66</v>
      </c>
      <c r="D8" s="8" t="s">
        <v>46</v>
      </c>
      <c r="E8" s="8" t="s">
        <v>47</v>
      </c>
      <c r="F8" s="8" t="s">
        <v>47</v>
      </c>
      <c r="G8" s="8" t="s">
        <v>47</v>
      </c>
      <c r="H8" s="8" t="s">
        <v>67</v>
      </c>
      <c r="I8" s="7" t="s">
        <v>49</v>
      </c>
      <c r="J8" s="8"/>
    </row>
    <row r="9" customFormat="false" ht="31.5" hidden="false" customHeight="true" outlineLevel="0" collapsed="false">
      <c r="A9" s="10" t="n">
        <v>8</v>
      </c>
      <c r="B9" s="10" t="s">
        <v>68</v>
      </c>
      <c r="C9" s="10" t="s">
        <v>45</v>
      </c>
      <c r="D9" s="11" t="s">
        <v>69</v>
      </c>
      <c r="E9" s="11" t="s">
        <v>70</v>
      </c>
      <c r="F9" s="11" t="s">
        <v>71</v>
      </c>
      <c r="G9" s="11" t="s">
        <v>72</v>
      </c>
      <c r="H9" s="12" t="s">
        <v>73</v>
      </c>
      <c r="I9" s="10" t="s">
        <v>49</v>
      </c>
      <c r="J9" s="11"/>
    </row>
    <row r="10" customFormat="false" ht="31.5" hidden="false" customHeight="true" outlineLevel="0" collapsed="false">
      <c r="A10" s="10" t="n">
        <v>9</v>
      </c>
      <c r="B10" s="10" t="s">
        <v>74</v>
      </c>
      <c r="C10" s="10" t="s">
        <v>51</v>
      </c>
      <c r="D10" s="11" t="s">
        <v>69</v>
      </c>
      <c r="E10" s="11" t="s">
        <v>75</v>
      </c>
      <c r="F10" s="11" t="s">
        <v>76</v>
      </c>
      <c r="G10" s="11" t="s">
        <v>77</v>
      </c>
      <c r="H10" s="11" t="s">
        <v>78</v>
      </c>
      <c r="I10" s="10" t="s">
        <v>49</v>
      </c>
      <c r="J10" s="11"/>
    </row>
    <row r="11" customFormat="false" ht="31.5" hidden="false" customHeight="true" outlineLevel="0" collapsed="false">
      <c r="A11" s="10" t="n">
        <v>10</v>
      </c>
      <c r="B11" s="10" t="s">
        <v>79</v>
      </c>
      <c r="C11" s="10" t="s">
        <v>54</v>
      </c>
      <c r="D11" s="11" t="s">
        <v>69</v>
      </c>
      <c r="E11" s="11" t="s">
        <v>80</v>
      </c>
      <c r="F11" s="11" t="s">
        <v>81</v>
      </c>
      <c r="G11" s="11" t="s">
        <v>82</v>
      </c>
      <c r="H11" s="11" t="s">
        <v>83</v>
      </c>
      <c r="I11" s="10" t="s">
        <v>49</v>
      </c>
      <c r="J11" s="11"/>
    </row>
    <row r="12" customFormat="false" ht="31.5" hidden="false" customHeight="true" outlineLevel="0" collapsed="false">
      <c r="A12" s="10" t="n">
        <v>11</v>
      </c>
      <c r="B12" s="10" t="s">
        <v>84</v>
      </c>
      <c r="C12" s="10" t="s">
        <v>57</v>
      </c>
      <c r="D12" s="11" t="s">
        <v>69</v>
      </c>
      <c r="E12" s="11" t="s">
        <v>85</v>
      </c>
      <c r="F12" s="11" t="s">
        <v>86</v>
      </c>
      <c r="G12" s="11" t="s">
        <v>87</v>
      </c>
      <c r="H12" s="11" t="s">
        <v>88</v>
      </c>
      <c r="I12" s="10" t="s">
        <v>49</v>
      </c>
      <c r="J12" s="11"/>
    </row>
    <row r="13" customFormat="false" ht="31.5" hidden="false" customHeight="true" outlineLevel="0" collapsed="false">
      <c r="A13" s="10" t="n">
        <v>12</v>
      </c>
      <c r="B13" s="10" t="s">
        <v>89</v>
      </c>
      <c r="C13" s="10" t="s">
        <v>60</v>
      </c>
      <c r="D13" s="11" t="s">
        <v>69</v>
      </c>
      <c r="E13" s="11" t="s">
        <v>90</v>
      </c>
      <c r="F13" s="11" t="s">
        <v>91</v>
      </c>
      <c r="G13" s="11" t="s">
        <v>92</v>
      </c>
      <c r="H13" s="13" t="s">
        <v>93</v>
      </c>
      <c r="I13" s="10" t="s">
        <v>49</v>
      </c>
      <c r="J13" s="11"/>
    </row>
    <row r="14" customFormat="false" ht="31.5" hidden="false" customHeight="true" outlineLevel="0" collapsed="false">
      <c r="A14" s="10" t="n">
        <v>13</v>
      </c>
      <c r="B14" s="10" t="s">
        <v>94</v>
      </c>
      <c r="C14" s="10" t="s">
        <v>63</v>
      </c>
      <c r="D14" s="11" t="s">
        <v>69</v>
      </c>
      <c r="E14" s="11" t="s">
        <v>95</v>
      </c>
      <c r="F14" s="11" t="s">
        <v>96</v>
      </c>
      <c r="G14" s="11" t="s">
        <v>97</v>
      </c>
      <c r="H14" s="11" t="s">
        <v>98</v>
      </c>
      <c r="I14" s="10" t="s">
        <v>49</v>
      </c>
      <c r="J14" s="11"/>
    </row>
    <row r="15" customFormat="false" ht="31.5" hidden="false" customHeight="true" outlineLevel="0" collapsed="false">
      <c r="A15" s="10" t="n">
        <v>14</v>
      </c>
      <c r="B15" s="10" t="s">
        <v>99</v>
      </c>
      <c r="C15" s="10" t="s">
        <v>66</v>
      </c>
      <c r="D15" s="11" t="s">
        <v>69</v>
      </c>
      <c r="E15" s="11" t="s">
        <v>100</v>
      </c>
      <c r="F15" s="11" t="s">
        <v>101</v>
      </c>
      <c r="G15" s="11" t="s">
        <v>102</v>
      </c>
      <c r="H15" s="11" t="s">
        <v>103</v>
      </c>
      <c r="I15" s="10" t="s">
        <v>49</v>
      </c>
      <c r="J15" s="11"/>
    </row>
    <row r="16" customFormat="false" ht="31.5" hidden="false" customHeight="true" outlineLevel="0" collapsed="false">
      <c r="A16" s="10" t="n">
        <v>15</v>
      </c>
      <c r="B16" s="10" t="s">
        <v>104</v>
      </c>
      <c r="C16" s="10" t="s">
        <v>45</v>
      </c>
      <c r="D16" s="11" t="s">
        <v>69</v>
      </c>
      <c r="E16" s="11" t="s">
        <v>105</v>
      </c>
      <c r="F16" s="11" t="s">
        <v>106</v>
      </c>
      <c r="G16" s="11" t="s">
        <v>107</v>
      </c>
      <c r="H16" s="12" t="s">
        <v>108</v>
      </c>
      <c r="I16" s="10" t="s">
        <v>49</v>
      </c>
      <c r="J16" s="11"/>
    </row>
    <row r="17" customFormat="false" ht="31.5" hidden="false" customHeight="true" outlineLevel="0" collapsed="false">
      <c r="A17" s="10" t="n">
        <v>16</v>
      </c>
      <c r="B17" s="10" t="s">
        <v>109</v>
      </c>
      <c r="C17" s="10" t="s">
        <v>51</v>
      </c>
      <c r="D17" s="11" t="s">
        <v>69</v>
      </c>
      <c r="E17" s="11" t="s">
        <v>110</v>
      </c>
      <c r="F17" s="11" t="s">
        <v>111</v>
      </c>
      <c r="G17" s="11" t="s">
        <v>112</v>
      </c>
      <c r="H17" s="11" t="s">
        <v>83</v>
      </c>
      <c r="I17" s="10" t="s">
        <v>49</v>
      </c>
      <c r="J17" s="11"/>
    </row>
    <row r="18" customFormat="false" ht="31.5" hidden="false" customHeight="true" outlineLevel="0" collapsed="false">
      <c r="A18" s="10" t="n">
        <v>17</v>
      </c>
      <c r="B18" s="10" t="s">
        <v>113</v>
      </c>
      <c r="C18" s="10" t="s">
        <v>54</v>
      </c>
      <c r="D18" s="11" t="s">
        <v>69</v>
      </c>
      <c r="E18" s="11" t="s">
        <v>114</v>
      </c>
      <c r="F18" s="11" t="s">
        <v>115</v>
      </c>
      <c r="G18" s="11" t="s">
        <v>116</v>
      </c>
      <c r="H18" s="11" t="s">
        <v>88</v>
      </c>
      <c r="I18" s="10" t="s">
        <v>49</v>
      </c>
      <c r="J18" s="11"/>
    </row>
    <row r="19" customFormat="false" ht="31.5" hidden="false" customHeight="true" outlineLevel="0" collapsed="false">
      <c r="A19" s="10" t="n">
        <v>18</v>
      </c>
      <c r="B19" s="10" t="s">
        <v>117</v>
      </c>
      <c r="C19" s="10" t="s">
        <v>57</v>
      </c>
      <c r="D19" s="11" t="s">
        <v>69</v>
      </c>
      <c r="E19" s="11" t="s">
        <v>118</v>
      </c>
      <c r="F19" s="11" t="s">
        <v>119</v>
      </c>
      <c r="G19" s="11" t="s">
        <v>72</v>
      </c>
      <c r="H19" s="11" t="s">
        <v>120</v>
      </c>
      <c r="I19" s="10" t="s">
        <v>49</v>
      </c>
      <c r="J19" s="11"/>
    </row>
    <row r="20" customFormat="false" ht="31.5" hidden="false" customHeight="true" outlineLevel="0" collapsed="false">
      <c r="A20" s="10" t="n">
        <v>19</v>
      </c>
      <c r="B20" s="10" t="s">
        <v>121</v>
      </c>
      <c r="C20" s="10" t="s">
        <v>60</v>
      </c>
      <c r="D20" s="11" t="s">
        <v>69</v>
      </c>
      <c r="E20" s="11" t="s">
        <v>122</v>
      </c>
      <c r="F20" s="11" t="s">
        <v>123</v>
      </c>
      <c r="G20" s="11" t="s">
        <v>77</v>
      </c>
      <c r="H20" s="9" t="s">
        <v>124</v>
      </c>
      <c r="I20" s="10" t="s">
        <v>49</v>
      </c>
      <c r="J20" s="11"/>
    </row>
    <row r="21" customFormat="false" ht="31.5" hidden="false" customHeight="true" outlineLevel="0" collapsed="false">
      <c r="A21" s="10" t="n">
        <v>20</v>
      </c>
      <c r="B21" s="10" t="s">
        <v>125</v>
      </c>
      <c r="C21" s="10" t="s">
        <v>63</v>
      </c>
      <c r="D21" s="11" t="s">
        <v>69</v>
      </c>
      <c r="E21" s="11" t="s">
        <v>126</v>
      </c>
      <c r="F21" s="11" t="s">
        <v>71</v>
      </c>
      <c r="G21" s="11" t="s">
        <v>82</v>
      </c>
      <c r="H21" s="11" t="s">
        <v>103</v>
      </c>
      <c r="I21" s="10" t="s">
        <v>49</v>
      </c>
      <c r="J21" s="11"/>
    </row>
    <row r="22" customFormat="false" ht="31.5" hidden="false" customHeight="true" outlineLevel="0" collapsed="false">
      <c r="A22" s="10" t="n">
        <v>21</v>
      </c>
      <c r="B22" s="10" t="s">
        <v>127</v>
      </c>
      <c r="C22" s="10" t="s">
        <v>66</v>
      </c>
      <c r="D22" s="11" t="s">
        <v>69</v>
      </c>
      <c r="E22" s="11" t="s">
        <v>128</v>
      </c>
      <c r="F22" s="11" t="s">
        <v>76</v>
      </c>
      <c r="G22" s="11" t="s">
        <v>87</v>
      </c>
      <c r="H22" s="11" t="s">
        <v>78</v>
      </c>
      <c r="I22" s="10" t="s">
        <v>49</v>
      </c>
      <c r="J22" s="11"/>
    </row>
    <row r="23" customFormat="false" ht="31.5" hidden="false" customHeight="true" outlineLevel="0" collapsed="false">
      <c r="A23" s="10" t="n">
        <v>22</v>
      </c>
      <c r="B23" s="10" t="s">
        <v>129</v>
      </c>
      <c r="C23" s="10" t="s">
        <v>45</v>
      </c>
      <c r="D23" s="11" t="s">
        <v>69</v>
      </c>
      <c r="E23" s="11" t="s">
        <v>130</v>
      </c>
      <c r="F23" s="11" t="s">
        <v>81</v>
      </c>
      <c r="G23" s="11" t="s">
        <v>92</v>
      </c>
      <c r="H23" s="12" t="s">
        <v>131</v>
      </c>
      <c r="I23" s="10" t="s">
        <v>49</v>
      </c>
      <c r="J23" s="11"/>
    </row>
    <row r="24" customFormat="false" ht="31.5" hidden="false" customHeight="true" outlineLevel="0" collapsed="false">
      <c r="A24" s="10" t="n">
        <v>23</v>
      </c>
      <c r="B24" s="10" t="s">
        <v>132</v>
      </c>
      <c r="C24" s="10" t="s">
        <v>51</v>
      </c>
      <c r="D24" s="11" t="s">
        <v>69</v>
      </c>
      <c r="E24" s="11" t="s">
        <v>133</v>
      </c>
      <c r="F24" s="11" t="s">
        <v>86</v>
      </c>
      <c r="G24" s="11" t="s">
        <v>97</v>
      </c>
      <c r="H24" s="11" t="s">
        <v>88</v>
      </c>
      <c r="I24" s="10" t="s">
        <v>49</v>
      </c>
      <c r="J24" s="11"/>
    </row>
    <row r="25" customFormat="false" ht="31.5" hidden="false" customHeight="true" outlineLevel="0" collapsed="false">
      <c r="A25" s="10" t="n">
        <v>24</v>
      </c>
      <c r="B25" s="10" t="s">
        <v>134</v>
      </c>
      <c r="C25" s="10" t="s">
        <v>54</v>
      </c>
      <c r="D25" s="11" t="s">
        <v>69</v>
      </c>
      <c r="E25" s="11" t="s">
        <v>135</v>
      </c>
      <c r="F25" s="11" t="s">
        <v>91</v>
      </c>
      <c r="G25" s="11" t="s">
        <v>102</v>
      </c>
      <c r="H25" s="11" t="s">
        <v>120</v>
      </c>
      <c r="I25" s="10" t="s">
        <v>49</v>
      </c>
      <c r="J25" s="11"/>
    </row>
    <row r="26" customFormat="false" ht="31.5" hidden="false" customHeight="true" outlineLevel="0" collapsed="false">
      <c r="A26" s="10" t="n">
        <v>25</v>
      </c>
      <c r="B26" s="10" t="s">
        <v>136</v>
      </c>
      <c r="C26" s="10" t="s">
        <v>57</v>
      </c>
      <c r="D26" s="11" t="s">
        <v>69</v>
      </c>
      <c r="E26" s="11" t="s">
        <v>137</v>
      </c>
      <c r="F26" s="11" t="s">
        <v>96</v>
      </c>
      <c r="G26" s="11" t="s">
        <v>107</v>
      </c>
      <c r="H26" s="11" t="s">
        <v>98</v>
      </c>
      <c r="I26" s="10" t="s">
        <v>49</v>
      </c>
      <c r="J26" s="11"/>
    </row>
    <row r="27" customFormat="false" ht="31.5" hidden="false" customHeight="true" outlineLevel="0" collapsed="false">
      <c r="A27" s="10" t="n">
        <v>26</v>
      </c>
      <c r="B27" s="10" t="s">
        <v>138</v>
      </c>
      <c r="C27" s="10" t="s">
        <v>60</v>
      </c>
      <c r="D27" s="11" t="s">
        <v>69</v>
      </c>
      <c r="E27" s="11" t="s">
        <v>139</v>
      </c>
      <c r="F27" s="11" t="s">
        <v>101</v>
      </c>
      <c r="G27" s="11" t="s">
        <v>112</v>
      </c>
      <c r="H27" s="9" t="s">
        <v>124</v>
      </c>
      <c r="I27" s="10" t="s">
        <v>49</v>
      </c>
      <c r="J27" s="11"/>
    </row>
    <row r="28" customFormat="false" ht="31.5" hidden="false" customHeight="true" outlineLevel="0" collapsed="false">
      <c r="A28" s="10" t="n">
        <v>27</v>
      </c>
      <c r="B28" s="10" t="s">
        <v>140</v>
      </c>
      <c r="C28" s="10" t="s">
        <v>63</v>
      </c>
      <c r="D28" s="11" t="s">
        <v>69</v>
      </c>
      <c r="E28" s="11" t="s">
        <v>141</v>
      </c>
      <c r="F28" s="11" t="s">
        <v>106</v>
      </c>
      <c r="G28" s="11" t="s">
        <v>116</v>
      </c>
      <c r="H28" s="11" t="s">
        <v>78</v>
      </c>
      <c r="I28" s="10" t="s">
        <v>49</v>
      </c>
      <c r="J28" s="11"/>
    </row>
    <row r="29" customFormat="false" ht="31.5" hidden="false" customHeight="true" outlineLevel="0" collapsed="false">
      <c r="A29" s="10" t="n">
        <v>28</v>
      </c>
      <c r="B29" s="10" t="s">
        <v>142</v>
      </c>
      <c r="C29" s="10" t="s">
        <v>66</v>
      </c>
      <c r="D29" s="11" t="s">
        <v>69</v>
      </c>
      <c r="E29" s="11" t="s">
        <v>143</v>
      </c>
      <c r="F29" s="11" t="s">
        <v>111</v>
      </c>
      <c r="G29" s="11" t="s">
        <v>72</v>
      </c>
      <c r="H29" s="11" t="s">
        <v>83</v>
      </c>
      <c r="I29" s="10" t="s">
        <v>49</v>
      </c>
      <c r="J29" s="11"/>
    </row>
    <row r="30" customFormat="false" ht="31.5" hidden="false" customHeight="true" outlineLevel="0" collapsed="false">
      <c r="A30" s="10" t="n">
        <v>29</v>
      </c>
      <c r="B30" s="10" t="s">
        <v>144</v>
      </c>
      <c r="C30" s="10" t="s">
        <v>45</v>
      </c>
      <c r="D30" s="11" t="s">
        <v>69</v>
      </c>
      <c r="E30" s="11" t="s">
        <v>145</v>
      </c>
      <c r="F30" s="11" t="s">
        <v>115</v>
      </c>
      <c r="G30" s="11" t="s">
        <v>77</v>
      </c>
      <c r="H30" s="12" t="s">
        <v>146</v>
      </c>
      <c r="I30" s="10" t="s">
        <v>49</v>
      </c>
      <c r="J30" s="11"/>
    </row>
    <row r="31" customFormat="false" ht="31.5" hidden="false" customHeight="true" outlineLevel="0" collapsed="false">
      <c r="A31" s="10" t="n">
        <v>30</v>
      </c>
      <c r="B31" s="10" t="s">
        <v>147</v>
      </c>
      <c r="C31" s="10" t="s">
        <v>51</v>
      </c>
      <c r="D31" s="11" t="s">
        <v>69</v>
      </c>
      <c r="E31" s="11" t="s">
        <v>148</v>
      </c>
      <c r="F31" s="11" t="s">
        <v>119</v>
      </c>
      <c r="G31" s="11" t="s">
        <v>82</v>
      </c>
      <c r="H31" s="11" t="s">
        <v>120</v>
      </c>
      <c r="I31" s="10" t="s">
        <v>49</v>
      </c>
      <c r="J31" s="11"/>
    </row>
    <row r="32" customFormat="false" ht="31.5" hidden="false" customHeight="true" outlineLevel="0" collapsed="false">
      <c r="A32" s="10" t="n">
        <v>31</v>
      </c>
      <c r="B32" s="10" t="s">
        <v>149</v>
      </c>
      <c r="C32" s="10" t="s">
        <v>54</v>
      </c>
      <c r="D32" s="11" t="s">
        <v>69</v>
      </c>
      <c r="E32" s="11" t="s">
        <v>150</v>
      </c>
      <c r="F32" s="11" t="s">
        <v>123</v>
      </c>
      <c r="G32" s="11" t="s">
        <v>87</v>
      </c>
      <c r="H32" s="11" t="s">
        <v>98</v>
      </c>
      <c r="I32" s="10" t="s">
        <v>49</v>
      </c>
      <c r="J32" s="11"/>
    </row>
    <row r="33" customFormat="false" ht="31.5" hidden="false" customHeight="true" outlineLevel="0" collapsed="false">
      <c r="A33" s="10" t="n">
        <v>32</v>
      </c>
      <c r="B33" s="10" t="s">
        <v>151</v>
      </c>
      <c r="C33" s="10" t="s">
        <v>57</v>
      </c>
      <c r="D33" s="11" t="s">
        <v>69</v>
      </c>
      <c r="E33" s="11" t="s">
        <v>152</v>
      </c>
      <c r="F33" s="11" t="s">
        <v>71</v>
      </c>
      <c r="G33" s="11" t="s">
        <v>92</v>
      </c>
      <c r="H33" s="11" t="s">
        <v>103</v>
      </c>
      <c r="I33" s="10" t="s">
        <v>49</v>
      </c>
      <c r="J33" s="11"/>
    </row>
    <row r="34" customFormat="false" ht="31.5" hidden="false" customHeight="true" outlineLevel="0" collapsed="false">
      <c r="A34" s="10" t="n">
        <v>33</v>
      </c>
      <c r="B34" s="10" t="s">
        <v>153</v>
      </c>
      <c r="C34" s="10" t="s">
        <v>60</v>
      </c>
      <c r="D34" s="11" t="s">
        <v>69</v>
      </c>
      <c r="E34" s="11" t="s">
        <v>154</v>
      </c>
      <c r="F34" s="11" t="s">
        <v>76</v>
      </c>
      <c r="G34" s="11" t="s">
        <v>97</v>
      </c>
      <c r="H34" s="9" t="s">
        <v>124</v>
      </c>
      <c r="I34" s="10" t="s">
        <v>49</v>
      </c>
      <c r="J34" s="11"/>
    </row>
    <row r="35" customFormat="false" ht="31.5" hidden="false" customHeight="true" outlineLevel="0" collapsed="false">
      <c r="A35" s="10" t="n">
        <v>34</v>
      </c>
      <c r="B35" s="10" t="s">
        <v>155</v>
      </c>
      <c r="C35" s="10" t="s">
        <v>63</v>
      </c>
      <c r="D35" s="11" t="s">
        <v>69</v>
      </c>
      <c r="E35" s="11" t="s">
        <v>156</v>
      </c>
      <c r="F35" s="11" t="s">
        <v>81</v>
      </c>
      <c r="G35" s="11" t="s">
        <v>102</v>
      </c>
      <c r="H35" s="11" t="s">
        <v>83</v>
      </c>
      <c r="I35" s="10" t="s">
        <v>49</v>
      </c>
      <c r="J35" s="11"/>
    </row>
    <row r="36" customFormat="false" ht="31.5" hidden="false" customHeight="true" outlineLevel="0" collapsed="false">
      <c r="A36" s="10" t="n">
        <v>35</v>
      </c>
      <c r="B36" s="10" t="s">
        <v>157</v>
      </c>
      <c r="C36" s="10" t="s">
        <v>66</v>
      </c>
      <c r="D36" s="11" t="s">
        <v>69</v>
      </c>
      <c r="E36" s="11" t="s">
        <v>158</v>
      </c>
      <c r="F36" s="11" t="s">
        <v>86</v>
      </c>
      <c r="G36" s="11" t="s">
        <v>107</v>
      </c>
      <c r="H36" s="11" t="s">
        <v>88</v>
      </c>
      <c r="I36" s="10" t="s">
        <v>49</v>
      </c>
      <c r="J36" s="11"/>
    </row>
    <row r="37" customFormat="false" ht="31.5" hidden="false" customHeight="true" outlineLevel="0" collapsed="false">
      <c r="A37" s="10" t="n">
        <v>36</v>
      </c>
      <c r="B37" s="10" t="s">
        <v>159</v>
      </c>
      <c r="C37" s="10" t="s">
        <v>45</v>
      </c>
      <c r="D37" s="11" t="s">
        <v>69</v>
      </c>
      <c r="E37" s="11" t="s">
        <v>160</v>
      </c>
      <c r="F37" s="11" t="s">
        <v>91</v>
      </c>
      <c r="G37" s="11" t="s">
        <v>112</v>
      </c>
      <c r="H37" s="12" t="s">
        <v>161</v>
      </c>
      <c r="I37" s="10" t="s">
        <v>49</v>
      </c>
      <c r="J37" s="11"/>
    </row>
    <row r="38" customFormat="false" ht="31.5" hidden="false" customHeight="true" outlineLevel="0" collapsed="false">
      <c r="A38" s="10" t="n">
        <v>37</v>
      </c>
      <c r="B38" s="10" t="s">
        <v>162</v>
      </c>
      <c r="C38" s="10" t="s">
        <v>51</v>
      </c>
      <c r="D38" s="11" t="s">
        <v>69</v>
      </c>
      <c r="E38" s="11" t="s">
        <v>163</v>
      </c>
      <c r="F38" s="11" t="s">
        <v>96</v>
      </c>
      <c r="G38" s="11" t="s">
        <v>116</v>
      </c>
      <c r="H38" s="11" t="s">
        <v>98</v>
      </c>
      <c r="I38" s="10" t="s">
        <v>49</v>
      </c>
      <c r="J38" s="11"/>
    </row>
    <row r="39" customFormat="false" ht="31.5" hidden="false" customHeight="true" outlineLevel="0" collapsed="false">
      <c r="A39" s="14" t="n">
        <v>38</v>
      </c>
      <c r="B39" s="14" t="s">
        <v>164</v>
      </c>
      <c r="C39" s="14" t="s">
        <v>54</v>
      </c>
      <c r="D39" s="15" t="s">
        <v>165</v>
      </c>
      <c r="E39" s="15" t="s">
        <v>166</v>
      </c>
      <c r="F39" s="15" t="s">
        <v>101</v>
      </c>
      <c r="G39" s="15" t="s">
        <v>72</v>
      </c>
      <c r="H39" s="16" t="s">
        <v>167</v>
      </c>
      <c r="I39" s="14" t="s">
        <v>49</v>
      </c>
      <c r="J39" s="15"/>
    </row>
    <row r="40" customFormat="false" ht="31.5" hidden="false" customHeight="true" outlineLevel="0" collapsed="false">
      <c r="A40" s="14" t="n">
        <v>39</v>
      </c>
      <c r="B40" s="14" t="s">
        <v>168</v>
      </c>
      <c r="C40" s="14" t="s">
        <v>57</v>
      </c>
      <c r="D40" s="15" t="s">
        <v>165</v>
      </c>
      <c r="E40" s="15" t="s">
        <v>169</v>
      </c>
      <c r="F40" s="15" t="s">
        <v>106</v>
      </c>
      <c r="G40" s="15" t="s">
        <v>77</v>
      </c>
      <c r="H40" s="15" t="s">
        <v>78</v>
      </c>
      <c r="I40" s="14" t="s">
        <v>49</v>
      </c>
      <c r="J40" s="15"/>
    </row>
    <row r="41" customFormat="false" ht="31.5" hidden="false" customHeight="true" outlineLevel="0" collapsed="false">
      <c r="A41" s="14" t="n">
        <v>40</v>
      </c>
      <c r="B41" s="14" t="s">
        <v>170</v>
      </c>
      <c r="C41" s="14" t="s">
        <v>60</v>
      </c>
      <c r="D41" s="15" t="s">
        <v>165</v>
      </c>
      <c r="E41" s="15" t="s">
        <v>171</v>
      </c>
      <c r="F41" s="15" t="s">
        <v>111</v>
      </c>
      <c r="G41" s="15" t="s">
        <v>82</v>
      </c>
      <c r="H41" s="9" t="s">
        <v>124</v>
      </c>
      <c r="I41" s="14" t="s">
        <v>49</v>
      </c>
      <c r="J41" s="15"/>
    </row>
    <row r="42" customFormat="false" ht="31.5" hidden="false" customHeight="true" outlineLevel="0" collapsed="false">
      <c r="A42" s="14" t="n">
        <v>41</v>
      </c>
      <c r="B42" s="14" t="s">
        <v>172</v>
      </c>
      <c r="C42" s="14" t="s">
        <v>63</v>
      </c>
      <c r="D42" s="15" t="s">
        <v>165</v>
      </c>
      <c r="E42" s="15" t="s">
        <v>173</v>
      </c>
      <c r="F42" s="15" t="s">
        <v>115</v>
      </c>
      <c r="G42" s="15" t="s">
        <v>87</v>
      </c>
      <c r="H42" s="15" t="s">
        <v>88</v>
      </c>
      <c r="I42" s="14" t="s">
        <v>49</v>
      </c>
      <c r="J42" s="15"/>
    </row>
    <row r="43" customFormat="false" ht="31.5" hidden="false" customHeight="true" outlineLevel="0" collapsed="false">
      <c r="A43" s="14" t="n">
        <v>42</v>
      </c>
      <c r="B43" s="14" t="s">
        <v>174</v>
      </c>
      <c r="C43" s="14" t="s">
        <v>66</v>
      </c>
      <c r="D43" s="15" t="s">
        <v>165</v>
      </c>
      <c r="E43" s="15" t="s">
        <v>175</v>
      </c>
      <c r="F43" s="15" t="s">
        <v>119</v>
      </c>
      <c r="G43" s="15" t="s">
        <v>92</v>
      </c>
      <c r="H43" s="16" t="s">
        <v>176</v>
      </c>
      <c r="I43" s="14" t="s">
        <v>49</v>
      </c>
      <c r="J43" s="15"/>
    </row>
    <row r="44" customFormat="false" ht="31.5" hidden="false" customHeight="true" outlineLevel="0" collapsed="false">
      <c r="A44" s="14" t="n">
        <v>43</v>
      </c>
      <c r="B44" s="14" t="s">
        <v>177</v>
      </c>
      <c r="C44" s="14" t="s">
        <v>45</v>
      </c>
      <c r="D44" s="15" t="s">
        <v>165</v>
      </c>
      <c r="E44" s="15" t="s">
        <v>178</v>
      </c>
      <c r="F44" s="15" t="s">
        <v>123</v>
      </c>
      <c r="G44" s="15" t="s">
        <v>97</v>
      </c>
      <c r="H44" s="15" t="s">
        <v>98</v>
      </c>
      <c r="I44" s="14" t="s">
        <v>49</v>
      </c>
      <c r="J44" s="15"/>
    </row>
    <row r="45" customFormat="false" ht="31.5" hidden="false" customHeight="true" outlineLevel="0" collapsed="false">
      <c r="A45" s="14" t="n">
        <v>44</v>
      </c>
      <c r="B45" s="14" t="s">
        <v>179</v>
      </c>
      <c r="C45" s="14" t="s">
        <v>51</v>
      </c>
      <c r="D45" s="15" t="s">
        <v>165</v>
      </c>
      <c r="E45" s="15" t="s">
        <v>70</v>
      </c>
      <c r="F45" s="15" t="s">
        <v>71</v>
      </c>
      <c r="G45" s="15" t="s">
        <v>102</v>
      </c>
      <c r="H45" s="15" t="s">
        <v>103</v>
      </c>
      <c r="I45" s="14" t="s">
        <v>49</v>
      </c>
      <c r="J45" s="15"/>
    </row>
    <row r="46" customFormat="false" ht="31.5" hidden="false" customHeight="true" outlineLevel="0" collapsed="false">
      <c r="A46" s="14" t="n">
        <v>45</v>
      </c>
      <c r="B46" s="14" t="s">
        <v>180</v>
      </c>
      <c r="C46" s="14" t="s">
        <v>54</v>
      </c>
      <c r="D46" s="15" t="s">
        <v>165</v>
      </c>
      <c r="E46" s="15" t="s">
        <v>75</v>
      </c>
      <c r="F46" s="15" t="s">
        <v>76</v>
      </c>
      <c r="G46" s="15" t="s">
        <v>107</v>
      </c>
      <c r="H46" s="15" t="s">
        <v>78</v>
      </c>
      <c r="I46" s="14" t="s">
        <v>49</v>
      </c>
      <c r="J46" s="15"/>
    </row>
    <row r="47" customFormat="false" ht="31.5" hidden="false" customHeight="true" outlineLevel="0" collapsed="false">
      <c r="A47" s="14" t="n">
        <v>46</v>
      </c>
      <c r="B47" s="14" t="s">
        <v>181</v>
      </c>
      <c r="C47" s="14" t="s">
        <v>57</v>
      </c>
      <c r="D47" s="15" t="s">
        <v>165</v>
      </c>
      <c r="E47" s="15" t="s">
        <v>80</v>
      </c>
      <c r="F47" s="15" t="s">
        <v>81</v>
      </c>
      <c r="G47" s="15" t="s">
        <v>112</v>
      </c>
      <c r="H47" s="16" t="s">
        <v>182</v>
      </c>
      <c r="I47" s="14" t="s">
        <v>49</v>
      </c>
      <c r="J47" s="15"/>
    </row>
    <row r="48" customFormat="false" ht="31.5" hidden="false" customHeight="true" outlineLevel="0" collapsed="false">
      <c r="A48" s="14" t="n">
        <v>47</v>
      </c>
      <c r="B48" s="14" t="s">
        <v>183</v>
      </c>
      <c r="C48" s="14" t="s">
        <v>60</v>
      </c>
      <c r="D48" s="15" t="s">
        <v>165</v>
      </c>
      <c r="E48" s="15" t="s">
        <v>85</v>
      </c>
      <c r="F48" s="15" t="s">
        <v>86</v>
      </c>
      <c r="G48" s="15" t="s">
        <v>116</v>
      </c>
      <c r="H48" s="9" t="s">
        <v>124</v>
      </c>
      <c r="I48" s="14" t="s">
        <v>49</v>
      </c>
      <c r="J48" s="15"/>
    </row>
    <row r="49" customFormat="false" ht="31.5" hidden="false" customHeight="true" outlineLevel="0" collapsed="false">
      <c r="A49" s="14" t="n">
        <v>48</v>
      </c>
      <c r="B49" s="14" t="s">
        <v>184</v>
      </c>
      <c r="C49" s="14" t="s">
        <v>63</v>
      </c>
      <c r="D49" s="15" t="s">
        <v>165</v>
      </c>
      <c r="E49" s="15" t="s">
        <v>90</v>
      </c>
      <c r="F49" s="15" t="s">
        <v>91</v>
      </c>
      <c r="G49" s="15" t="s">
        <v>72</v>
      </c>
      <c r="H49" s="15" t="s">
        <v>120</v>
      </c>
      <c r="I49" s="14" t="s">
        <v>49</v>
      </c>
      <c r="J49" s="15"/>
    </row>
    <row r="50" customFormat="false" ht="31.5" hidden="false" customHeight="true" outlineLevel="0" collapsed="false">
      <c r="A50" s="14" t="n">
        <v>49</v>
      </c>
      <c r="B50" s="14" t="s">
        <v>185</v>
      </c>
      <c r="C50" s="14" t="s">
        <v>66</v>
      </c>
      <c r="D50" s="15" t="s">
        <v>165</v>
      </c>
      <c r="E50" s="15" t="s">
        <v>95</v>
      </c>
      <c r="F50" s="15" t="s">
        <v>96</v>
      </c>
      <c r="G50" s="15" t="s">
        <v>77</v>
      </c>
      <c r="H50" s="16" t="s">
        <v>186</v>
      </c>
      <c r="I50" s="14" t="s">
        <v>49</v>
      </c>
      <c r="J50" s="15"/>
    </row>
    <row r="51" customFormat="false" ht="31.5" hidden="false" customHeight="true" outlineLevel="0" collapsed="false">
      <c r="A51" s="14" t="n">
        <v>50</v>
      </c>
      <c r="B51" s="14" t="s">
        <v>187</v>
      </c>
      <c r="C51" s="14" t="s">
        <v>45</v>
      </c>
      <c r="D51" s="15" t="s">
        <v>165</v>
      </c>
      <c r="E51" s="15" t="s">
        <v>100</v>
      </c>
      <c r="F51" s="15" t="s">
        <v>101</v>
      </c>
      <c r="G51" s="15" t="s">
        <v>82</v>
      </c>
      <c r="H51" s="15" t="s">
        <v>103</v>
      </c>
      <c r="I51" s="14" t="s">
        <v>49</v>
      </c>
      <c r="J51" s="15"/>
    </row>
    <row r="52" customFormat="false" ht="31.5" hidden="false" customHeight="true" outlineLevel="0" collapsed="false">
      <c r="A52" s="14" t="n">
        <v>51</v>
      </c>
      <c r="B52" s="14" t="s">
        <v>188</v>
      </c>
      <c r="C52" s="14" t="s">
        <v>51</v>
      </c>
      <c r="D52" s="15" t="s">
        <v>165</v>
      </c>
      <c r="E52" s="15" t="s">
        <v>105</v>
      </c>
      <c r="F52" s="15" t="s">
        <v>106</v>
      </c>
      <c r="G52" s="15" t="s">
        <v>87</v>
      </c>
      <c r="H52" s="15" t="s">
        <v>78</v>
      </c>
      <c r="I52" s="14" t="s">
        <v>49</v>
      </c>
      <c r="J52" s="15"/>
    </row>
    <row r="53" customFormat="false" ht="31.5" hidden="false" customHeight="true" outlineLevel="0" collapsed="false">
      <c r="A53" s="14" t="n">
        <v>52</v>
      </c>
      <c r="B53" s="14" t="s">
        <v>189</v>
      </c>
      <c r="C53" s="14" t="s">
        <v>54</v>
      </c>
      <c r="D53" s="15" t="s">
        <v>165</v>
      </c>
      <c r="E53" s="15" t="s">
        <v>110</v>
      </c>
      <c r="F53" s="15" t="s">
        <v>111</v>
      </c>
      <c r="G53" s="15" t="s">
        <v>92</v>
      </c>
      <c r="H53" s="15" t="s">
        <v>83</v>
      </c>
      <c r="I53" s="14" t="s">
        <v>49</v>
      </c>
      <c r="J53" s="15"/>
    </row>
    <row r="54" customFormat="false" ht="31.5" hidden="false" customHeight="true" outlineLevel="0" collapsed="false">
      <c r="A54" s="14" t="n">
        <v>53</v>
      </c>
      <c r="B54" s="14" t="s">
        <v>190</v>
      </c>
      <c r="C54" s="14" t="s">
        <v>57</v>
      </c>
      <c r="D54" s="15" t="s">
        <v>165</v>
      </c>
      <c r="E54" s="15" t="s">
        <v>114</v>
      </c>
      <c r="F54" s="15" t="s">
        <v>115</v>
      </c>
      <c r="G54" s="15" t="s">
        <v>97</v>
      </c>
      <c r="H54" s="16" t="s">
        <v>191</v>
      </c>
      <c r="I54" s="14" t="s">
        <v>49</v>
      </c>
      <c r="J54" s="15"/>
    </row>
    <row r="55" customFormat="false" ht="31.5" hidden="false" customHeight="true" outlineLevel="0" collapsed="false">
      <c r="A55" s="14" t="n">
        <v>54</v>
      </c>
      <c r="B55" s="14" t="s">
        <v>192</v>
      </c>
      <c r="C55" s="14" t="s">
        <v>60</v>
      </c>
      <c r="D55" s="15" t="s">
        <v>165</v>
      </c>
      <c r="E55" s="15" t="s">
        <v>118</v>
      </c>
      <c r="F55" s="15" t="s">
        <v>119</v>
      </c>
      <c r="G55" s="15" t="s">
        <v>102</v>
      </c>
      <c r="H55" s="9" t="s">
        <v>124</v>
      </c>
      <c r="I55" s="14" t="s">
        <v>49</v>
      </c>
      <c r="J55" s="15"/>
    </row>
    <row r="56" customFormat="false" ht="31.5" hidden="false" customHeight="true" outlineLevel="0" collapsed="false">
      <c r="A56" s="14" t="n">
        <v>55</v>
      </c>
      <c r="B56" s="14" t="s">
        <v>193</v>
      </c>
      <c r="C56" s="14" t="s">
        <v>63</v>
      </c>
      <c r="D56" s="15" t="s">
        <v>165</v>
      </c>
      <c r="E56" s="15" t="s">
        <v>122</v>
      </c>
      <c r="F56" s="15" t="s">
        <v>123</v>
      </c>
      <c r="G56" s="15" t="s">
        <v>107</v>
      </c>
      <c r="H56" s="15" t="s">
        <v>98</v>
      </c>
      <c r="I56" s="14" t="s">
        <v>49</v>
      </c>
      <c r="J56" s="15"/>
    </row>
    <row r="57" customFormat="false" ht="31.5" hidden="false" customHeight="true" outlineLevel="0" collapsed="false">
      <c r="A57" s="14" t="n">
        <v>56</v>
      </c>
      <c r="B57" s="14" t="s">
        <v>194</v>
      </c>
      <c r="C57" s="14" t="s">
        <v>66</v>
      </c>
      <c r="D57" s="15" t="s">
        <v>165</v>
      </c>
      <c r="E57" s="15" t="s">
        <v>126</v>
      </c>
      <c r="F57" s="15" t="s">
        <v>71</v>
      </c>
      <c r="G57" s="15" t="s">
        <v>112</v>
      </c>
      <c r="H57" s="16" t="s">
        <v>195</v>
      </c>
      <c r="I57" s="14" t="s">
        <v>49</v>
      </c>
      <c r="J57" s="15"/>
    </row>
    <row r="58" customFormat="false" ht="31.5" hidden="false" customHeight="true" outlineLevel="0" collapsed="false">
      <c r="A58" s="14" t="n">
        <v>57</v>
      </c>
      <c r="B58" s="14" t="s">
        <v>196</v>
      </c>
      <c r="C58" s="14" t="s">
        <v>45</v>
      </c>
      <c r="D58" s="15" t="s">
        <v>165</v>
      </c>
      <c r="E58" s="15" t="s">
        <v>128</v>
      </c>
      <c r="F58" s="15" t="s">
        <v>76</v>
      </c>
      <c r="G58" s="15" t="s">
        <v>116</v>
      </c>
      <c r="H58" s="15" t="s">
        <v>78</v>
      </c>
      <c r="I58" s="14" t="s">
        <v>49</v>
      </c>
      <c r="J58" s="15"/>
    </row>
    <row r="59" customFormat="false" ht="31.5" hidden="false" customHeight="true" outlineLevel="0" collapsed="false">
      <c r="A59" s="14" t="n">
        <v>58</v>
      </c>
      <c r="B59" s="14" t="s">
        <v>197</v>
      </c>
      <c r="C59" s="14" t="s">
        <v>51</v>
      </c>
      <c r="D59" s="15" t="s">
        <v>165</v>
      </c>
      <c r="E59" s="15" t="s">
        <v>130</v>
      </c>
      <c r="F59" s="15" t="s">
        <v>81</v>
      </c>
      <c r="G59" s="15" t="s">
        <v>72</v>
      </c>
      <c r="H59" s="16" t="s">
        <v>198</v>
      </c>
      <c r="I59" s="14" t="s">
        <v>49</v>
      </c>
      <c r="J59" s="15"/>
    </row>
    <row r="60" customFormat="false" ht="31.5" hidden="false" customHeight="true" outlineLevel="0" collapsed="false">
      <c r="A60" s="14" t="n">
        <v>59</v>
      </c>
      <c r="B60" s="14" t="s">
        <v>199</v>
      </c>
      <c r="C60" s="14" t="s">
        <v>54</v>
      </c>
      <c r="D60" s="15" t="s">
        <v>165</v>
      </c>
      <c r="E60" s="15" t="s">
        <v>133</v>
      </c>
      <c r="F60" s="15" t="s">
        <v>86</v>
      </c>
      <c r="G60" s="15" t="s">
        <v>77</v>
      </c>
      <c r="H60" s="15" t="s">
        <v>88</v>
      </c>
      <c r="I60" s="14" t="s">
        <v>49</v>
      </c>
      <c r="J60" s="15"/>
    </row>
    <row r="61" customFormat="false" ht="31.5" hidden="false" customHeight="true" outlineLevel="0" collapsed="false">
      <c r="A61" s="14" t="n">
        <v>60</v>
      </c>
      <c r="B61" s="14" t="s">
        <v>200</v>
      </c>
      <c r="C61" s="14" t="s">
        <v>57</v>
      </c>
      <c r="D61" s="15" t="s">
        <v>165</v>
      </c>
      <c r="E61" s="15" t="s">
        <v>135</v>
      </c>
      <c r="F61" s="15" t="s">
        <v>91</v>
      </c>
      <c r="G61" s="15" t="s">
        <v>82</v>
      </c>
      <c r="H61" s="16" t="s">
        <v>201</v>
      </c>
      <c r="I61" s="14" t="s">
        <v>49</v>
      </c>
      <c r="J61" s="15"/>
    </row>
    <row r="62" customFormat="false" ht="31.5" hidden="false" customHeight="true" outlineLevel="0" collapsed="false">
      <c r="A62" s="14" t="n">
        <v>61</v>
      </c>
      <c r="B62" s="14" t="s">
        <v>202</v>
      </c>
      <c r="C62" s="14" t="s">
        <v>60</v>
      </c>
      <c r="D62" s="15" t="s">
        <v>165</v>
      </c>
      <c r="E62" s="15" t="s">
        <v>137</v>
      </c>
      <c r="F62" s="15" t="s">
        <v>96</v>
      </c>
      <c r="G62" s="15" t="s">
        <v>87</v>
      </c>
      <c r="H62" s="9" t="s">
        <v>124</v>
      </c>
      <c r="I62" s="14" t="s">
        <v>49</v>
      </c>
      <c r="J62" s="15"/>
    </row>
    <row r="63" customFormat="false" ht="31.5" hidden="false" customHeight="true" outlineLevel="0" collapsed="false">
      <c r="A63" s="14" t="n">
        <v>62</v>
      </c>
      <c r="B63" s="14" t="s">
        <v>203</v>
      </c>
      <c r="C63" s="14" t="s">
        <v>63</v>
      </c>
      <c r="D63" s="15" t="s">
        <v>165</v>
      </c>
      <c r="E63" s="15" t="s">
        <v>139</v>
      </c>
      <c r="F63" s="15" t="s">
        <v>101</v>
      </c>
      <c r="G63" s="15" t="s">
        <v>92</v>
      </c>
      <c r="H63" s="16" t="s">
        <v>204</v>
      </c>
      <c r="I63" s="14" t="s">
        <v>49</v>
      </c>
      <c r="J63" s="15"/>
    </row>
    <row r="64" customFormat="false" ht="31.5" hidden="false" customHeight="true" outlineLevel="0" collapsed="false">
      <c r="A64" s="14" t="n">
        <v>63</v>
      </c>
      <c r="B64" s="14" t="s">
        <v>205</v>
      </c>
      <c r="C64" s="14" t="s">
        <v>66</v>
      </c>
      <c r="D64" s="15" t="s">
        <v>165</v>
      </c>
      <c r="E64" s="15" t="s">
        <v>141</v>
      </c>
      <c r="F64" s="15" t="s">
        <v>106</v>
      </c>
      <c r="G64" s="15" t="s">
        <v>97</v>
      </c>
      <c r="H64" s="15" t="s">
        <v>78</v>
      </c>
      <c r="I64" s="14" t="s">
        <v>49</v>
      </c>
      <c r="J64" s="15"/>
    </row>
    <row r="65" customFormat="false" ht="31.5" hidden="false" customHeight="true" outlineLevel="0" collapsed="false">
      <c r="A65" s="14" t="n">
        <v>64</v>
      </c>
      <c r="B65" s="14" t="s">
        <v>206</v>
      </c>
      <c r="C65" s="14" t="s">
        <v>45</v>
      </c>
      <c r="D65" s="15" t="s">
        <v>165</v>
      </c>
      <c r="E65" s="15" t="s">
        <v>143</v>
      </c>
      <c r="F65" s="15" t="s">
        <v>111</v>
      </c>
      <c r="G65" s="15" t="s">
        <v>102</v>
      </c>
      <c r="H65" s="15" t="s">
        <v>83</v>
      </c>
      <c r="I65" s="14" t="s">
        <v>49</v>
      </c>
      <c r="J65" s="15"/>
    </row>
    <row r="66" customFormat="false" ht="31.5" hidden="false" customHeight="true" outlineLevel="0" collapsed="false">
      <c r="A66" s="14" t="n">
        <v>65</v>
      </c>
      <c r="B66" s="14" t="s">
        <v>207</v>
      </c>
      <c r="C66" s="14" t="s">
        <v>51</v>
      </c>
      <c r="D66" s="15" t="s">
        <v>165</v>
      </c>
      <c r="E66" s="15" t="s">
        <v>145</v>
      </c>
      <c r="F66" s="15" t="s">
        <v>115</v>
      </c>
      <c r="G66" s="15" t="s">
        <v>107</v>
      </c>
      <c r="H66" s="15" t="s">
        <v>88</v>
      </c>
      <c r="I66" s="14" t="s">
        <v>49</v>
      </c>
      <c r="J66" s="15"/>
    </row>
    <row r="67" customFormat="false" ht="31.5" hidden="false" customHeight="true" outlineLevel="0" collapsed="false">
      <c r="A67" s="14" t="n">
        <v>66</v>
      </c>
      <c r="B67" s="14" t="s">
        <v>208</v>
      </c>
      <c r="C67" s="14" t="s">
        <v>54</v>
      </c>
      <c r="D67" s="15" t="s">
        <v>165</v>
      </c>
      <c r="E67" s="15" t="s">
        <v>148</v>
      </c>
      <c r="F67" s="15" t="s">
        <v>119</v>
      </c>
      <c r="G67" s="15" t="s">
        <v>112</v>
      </c>
      <c r="H67" s="16" t="s">
        <v>209</v>
      </c>
      <c r="I67" s="14" t="s">
        <v>49</v>
      </c>
      <c r="J67" s="15"/>
    </row>
    <row r="68" customFormat="false" ht="31.5" hidden="false" customHeight="true" outlineLevel="0" collapsed="false">
      <c r="A68" s="14" t="n">
        <v>67</v>
      </c>
      <c r="B68" s="14" t="s">
        <v>210</v>
      </c>
      <c r="C68" s="14" t="s">
        <v>57</v>
      </c>
      <c r="D68" s="15" t="s">
        <v>165</v>
      </c>
      <c r="E68" s="15" t="s">
        <v>150</v>
      </c>
      <c r="F68" s="15" t="s">
        <v>123</v>
      </c>
      <c r="G68" s="15" t="s">
        <v>116</v>
      </c>
      <c r="H68" s="15" t="s">
        <v>98</v>
      </c>
      <c r="I68" s="14" t="s">
        <v>49</v>
      </c>
      <c r="J68" s="15"/>
    </row>
    <row r="69" customFormat="false" ht="31.5" hidden="false" customHeight="true" outlineLevel="0" collapsed="false">
      <c r="A69" s="17" t="n">
        <v>68</v>
      </c>
      <c r="B69" s="17" t="s">
        <v>211</v>
      </c>
      <c r="C69" s="17" t="s">
        <v>60</v>
      </c>
      <c r="D69" s="18" t="s">
        <v>212</v>
      </c>
      <c r="E69" s="18" t="s">
        <v>152</v>
      </c>
      <c r="F69" s="18" t="s">
        <v>71</v>
      </c>
      <c r="G69" s="18" t="s">
        <v>72</v>
      </c>
      <c r="H69" s="13" t="s">
        <v>213</v>
      </c>
      <c r="I69" s="17" t="s">
        <v>49</v>
      </c>
      <c r="J69" s="18"/>
    </row>
    <row r="70" customFormat="false" ht="31.5" hidden="false" customHeight="true" outlineLevel="0" collapsed="false">
      <c r="A70" s="17" t="n">
        <v>69</v>
      </c>
      <c r="B70" s="17" t="s">
        <v>214</v>
      </c>
      <c r="C70" s="17" t="s">
        <v>63</v>
      </c>
      <c r="D70" s="18" t="s">
        <v>212</v>
      </c>
      <c r="E70" s="18" t="s">
        <v>154</v>
      </c>
      <c r="F70" s="18" t="s">
        <v>76</v>
      </c>
      <c r="G70" s="18" t="s">
        <v>77</v>
      </c>
      <c r="H70" s="18" t="s">
        <v>78</v>
      </c>
      <c r="I70" s="17" t="s">
        <v>49</v>
      </c>
      <c r="J70" s="18"/>
    </row>
    <row r="71" customFormat="false" ht="31.5" hidden="false" customHeight="true" outlineLevel="0" collapsed="false">
      <c r="A71" s="17" t="n">
        <v>70</v>
      </c>
      <c r="B71" s="17" t="s">
        <v>215</v>
      </c>
      <c r="C71" s="17" t="s">
        <v>66</v>
      </c>
      <c r="D71" s="18" t="s">
        <v>212</v>
      </c>
      <c r="E71" s="18" t="s">
        <v>156</v>
      </c>
      <c r="F71" s="18" t="s">
        <v>81</v>
      </c>
      <c r="G71" s="18" t="s">
        <v>82</v>
      </c>
      <c r="H71" s="18" t="s">
        <v>83</v>
      </c>
      <c r="I71" s="17" t="s">
        <v>49</v>
      </c>
      <c r="J71" s="18"/>
    </row>
    <row r="72" customFormat="false" ht="31.5" hidden="false" customHeight="true" outlineLevel="0" collapsed="false">
      <c r="A72" s="17" t="n">
        <v>71</v>
      </c>
      <c r="B72" s="17" t="s">
        <v>216</v>
      </c>
      <c r="C72" s="17" t="s">
        <v>45</v>
      </c>
      <c r="D72" s="18" t="s">
        <v>212</v>
      </c>
      <c r="E72" s="18" t="s">
        <v>158</v>
      </c>
      <c r="F72" s="18" t="s">
        <v>86</v>
      </c>
      <c r="G72" s="18" t="s">
        <v>87</v>
      </c>
      <c r="H72" s="18" t="s">
        <v>88</v>
      </c>
      <c r="I72" s="17" t="s">
        <v>49</v>
      </c>
      <c r="J72" s="18"/>
    </row>
    <row r="73" customFormat="false" ht="31.5" hidden="false" customHeight="true" outlineLevel="0" collapsed="false">
      <c r="A73" s="17" t="n">
        <v>72</v>
      </c>
      <c r="B73" s="17" t="s">
        <v>217</v>
      </c>
      <c r="C73" s="17" t="s">
        <v>51</v>
      </c>
      <c r="D73" s="18" t="s">
        <v>212</v>
      </c>
      <c r="E73" s="18" t="s">
        <v>160</v>
      </c>
      <c r="F73" s="18" t="s">
        <v>91</v>
      </c>
      <c r="G73" s="18" t="s">
        <v>92</v>
      </c>
      <c r="H73" s="19" t="s">
        <v>218</v>
      </c>
      <c r="I73" s="17" t="s">
        <v>49</v>
      </c>
      <c r="J73" s="18"/>
    </row>
    <row r="74" customFormat="false" ht="31.5" hidden="false" customHeight="true" outlineLevel="0" collapsed="false">
      <c r="A74" s="17" t="n">
        <v>73</v>
      </c>
      <c r="B74" s="17" t="s">
        <v>219</v>
      </c>
      <c r="C74" s="17" t="s">
        <v>54</v>
      </c>
      <c r="D74" s="18" t="s">
        <v>212</v>
      </c>
      <c r="E74" s="18" t="s">
        <v>163</v>
      </c>
      <c r="F74" s="18" t="s">
        <v>96</v>
      </c>
      <c r="G74" s="18" t="s">
        <v>97</v>
      </c>
      <c r="H74" s="18" t="s">
        <v>98</v>
      </c>
      <c r="I74" s="17" t="s">
        <v>49</v>
      </c>
      <c r="J74" s="18"/>
    </row>
    <row r="75" customFormat="false" ht="31.5" hidden="false" customHeight="true" outlineLevel="0" collapsed="false">
      <c r="A75" s="17" t="n">
        <v>74</v>
      </c>
      <c r="B75" s="17" t="s">
        <v>220</v>
      </c>
      <c r="C75" s="17" t="s">
        <v>57</v>
      </c>
      <c r="D75" s="18" t="s">
        <v>212</v>
      </c>
      <c r="E75" s="18" t="s">
        <v>166</v>
      </c>
      <c r="F75" s="18" t="s">
        <v>101</v>
      </c>
      <c r="G75" s="18" t="s">
        <v>102</v>
      </c>
      <c r="H75" s="18" t="s">
        <v>103</v>
      </c>
      <c r="I75" s="17" t="s">
        <v>49</v>
      </c>
      <c r="J75" s="18"/>
    </row>
    <row r="76" customFormat="false" ht="31.5" hidden="false" customHeight="true" outlineLevel="0" collapsed="false">
      <c r="A76" s="17" t="n">
        <v>75</v>
      </c>
      <c r="B76" s="17" t="s">
        <v>221</v>
      </c>
      <c r="C76" s="17" t="s">
        <v>60</v>
      </c>
      <c r="D76" s="18" t="s">
        <v>212</v>
      </c>
      <c r="E76" s="18" t="s">
        <v>169</v>
      </c>
      <c r="F76" s="18" t="s">
        <v>106</v>
      </c>
      <c r="G76" s="18" t="s">
        <v>107</v>
      </c>
      <c r="H76" s="9" t="s">
        <v>124</v>
      </c>
      <c r="I76" s="17" t="s">
        <v>49</v>
      </c>
      <c r="J76" s="18"/>
    </row>
    <row r="77" customFormat="false" ht="31.5" hidden="false" customHeight="true" outlineLevel="0" collapsed="false">
      <c r="A77" s="17" t="n">
        <v>76</v>
      </c>
      <c r="B77" s="17" t="s">
        <v>222</v>
      </c>
      <c r="C77" s="17" t="s">
        <v>63</v>
      </c>
      <c r="D77" s="18" t="s">
        <v>212</v>
      </c>
      <c r="E77" s="18" t="s">
        <v>171</v>
      </c>
      <c r="F77" s="18" t="s">
        <v>111</v>
      </c>
      <c r="G77" s="18" t="s">
        <v>112</v>
      </c>
      <c r="H77" s="18" t="s">
        <v>83</v>
      </c>
      <c r="I77" s="17" t="s">
        <v>49</v>
      </c>
      <c r="J77" s="18"/>
    </row>
    <row r="78" customFormat="false" ht="31.5" hidden="false" customHeight="true" outlineLevel="0" collapsed="false">
      <c r="A78" s="17" t="n">
        <v>77</v>
      </c>
      <c r="B78" s="17" t="s">
        <v>223</v>
      </c>
      <c r="C78" s="17" t="s">
        <v>66</v>
      </c>
      <c r="D78" s="18" t="s">
        <v>212</v>
      </c>
      <c r="E78" s="18" t="s">
        <v>173</v>
      </c>
      <c r="F78" s="18" t="s">
        <v>115</v>
      </c>
      <c r="G78" s="18" t="s">
        <v>116</v>
      </c>
      <c r="H78" s="18" t="s">
        <v>88</v>
      </c>
      <c r="I78" s="17" t="s">
        <v>49</v>
      </c>
      <c r="J78" s="18"/>
    </row>
    <row r="79" customFormat="false" ht="31.5" hidden="false" customHeight="true" outlineLevel="0" collapsed="false">
      <c r="A79" s="17" t="n">
        <v>78</v>
      </c>
      <c r="B79" s="17" t="s">
        <v>224</v>
      </c>
      <c r="C79" s="17" t="s">
        <v>45</v>
      </c>
      <c r="D79" s="18" t="s">
        <v>212</v>
      </c>
      <c r="E79" s="18" t="s">
        <v>175</v>
      </c>
      <c r="F79" s="18" t="s">
        <v>119</v>
      </c>
      <c r="G79" s="18" t="s">
        <v>72</v>
      </c>
      <c r="H79" s="19" t="s">
        <v>225</v>
      </c>
      <c r="I79" s="17" t="s">
        <v>49</v>
      </c>
      <c r="J79" s="18"/>
    </row>
    <row r="80" customFormat="false" ht="31.5" hidden="false" customHeight="true" outlineLevel="0" collapsed="false">
      <c r="A80" s="17" t="n">
        <v>79</v>
      </c>
      <c r="B80" s="17" t="s">
        <v>226</v>
      </c>
      <c r="C80" s="17" t="s">
        <v>51</v>
      </c>
      <c r="D80" s="18" t="s">
        <v>212</v>
      </c>
      <c r="E80" s="18" t="s">
        <v>178</v>
      </c>
      <c r="F80" s="18" t="s">
        <v>123</v>
      </c>
      <c r="G80" s="18" t="s">
        <v>77</v>
      </c>
      <c r="H80" s="18" t="s">
        <v>98</v>
      </c>
      <c r="I80" s="17" t="s">
        <v>49</v>
      </c>
      <c r="J80" s="18"/>
    </row>
    <row r="81" customFormat="false" ht="31.5" hidden="false" customHeight="true" outlineLevel="0" collapsed="false">
      <c r="A81" s="17" t="n">
        <v>80</v>
      </c>
      <c r="B81" s="17" t="s">
        <v>227</v>
      </c>
      <c r="C81" s="17" t="s">
        <v>54</v>
      </c>
      <c r="D81" s="18" t="s">
        <v>212</v>
      </c>
      <c r="E81" s="18" t="s">
        <v>70</v>
      </c>
      <c r="F81" s="18" t="s">
        <v>71</v>
      </c>
      <c r="G81" s="18" t="s">
        <v>82</v>
      </c>
      <c r="H81" s="18" t="s">
        <v>103</v>
      </c>
      <c r="I81" s="17" t="s">
        <v>49</v>
      </c>
      <c r="J81" s="18"/>
    </row>
    <row r="82" customFormat="false" ht="31.5" hidden="false" customHeight="true" outlineLevel="0" collapsed="false">
      <c r="A82" s="17" t="n">
        <v>81</v>
      </c>
      <c r="B82" s="17" t="s">
        <v>228</v>
      </c>
      <c r="C82" s="17" t="s">
        <v>57</v>
      </c>
      <c r="D82" s="18" t="s">
        <v>212</v>
      </c>
      <c r="E82" s="18" t="s">
        <v>75</v>
      </c>
      <c r="F82" s="18" t="s">
        <v>76</v>
      </c>
      <c r="G82" s="18" t="s">
        <v>87</v>
      </c>
      <c r="H82" s="18" t="s">
        <v>78</v>
      </c>
      <c r="I82" s="17" t="s">
        <v>49</v>
      </c>
      <c r="J82" s="18"/>
    </row>
    <row r="83" customFormat="false" ht="31.5" hidden="false" customHeight="true" outlineLevel="0" collapsed="false">
      <c r="A83" s="17" t="n">
        <v>82</v>
      </c>
      <c r="B83" s="17" t="s">
        <v>229</v>
      </c>
      <c r="C83" s="17" t="s">
        <v>60</v>
      </c>
      <c r="D83" s="18" t="s">
        <v>212</v>
      </c>
      <c r="E83" s="18" t="s">
        <v>80</v>
      </c>
      <c r="F83" s="18" t="s">
        <v>81</v>
      </c>
      <c r="G83" s="18" t="s">
        <v>92</v>
      </c>
      <c r="H83" s="13" t="s">
        <v>230</v>
      </c>
      <c r="I83" s="17" t="s">
        <v>49</v>
      </c>
      <c r="J83" s="18"/>
    </row>
    <row r="84" customFormat="false" ht="31.5" hidden="false" customHeight="true" outlineLevel="0" collapsed="false">
      <c r="A84" s="17" t="n">
        <v>83</v>
      </c>
      <c r="B84" s="17" t="s">
        <v>231</v>
      </c>
      <c r="C84" s="17" t="s">
        <v>63</v>
      </c>
      <c r="D84" s="18" t="s">
        <v>212</v>
      </c>
      <c r="E84" s="18" t="s">
        <v>85</v>
      </c>
      <c r="F84" s="18" t="s">
        <v>86</v>
      </c>
      <c r="G84" s="18" t="s">
        <v>97</v>
      </c>
      <c r="H84" s="18" t="s">
        <v>88</v>
      </c>
      <c r="I84" s="17" t="s">
        <v>49</v>
      </c>
      <c r="J84" s="18"/>
    </row>
    <row r="85" customFormat="false" ht="31.5" hidden="false" customHeight="true" outlineLevel="0" collapsed="false">
      <c r="A85" s="17" t="n">
        <v>84</v>
      </c>
      <c r="B85" s="17" t="s">
        <v>232</v>
      </c>
      <c r="C85" s="17" t="s">
        <v>66</v>
      </c>
      <c r="D85" s="18" t="s">
        <v>212</v>
      </c>
      <c r="E85" s="18" t="s">
        <v>90</v>
      </c>
      <c r="F85" s="18" t="s">
        <v>91</v>
      </c>
      <c r="G85" s="18" t="s">
        <v>102</v>
      </c>
      <c r="H85" s="18" t="s">
        <v>120</v>
      </c>
      <c r="I85" s="17" t="s">
        <v>49</v>
      </c>
      <c r="J85" s="18"/>
    </row>
    <row r="86" customFormat="false" ht="31.5" hidden="false" customHeight="true" outlineLevel="0" collapsed="false">
      <c r="A86" s="17" t="n">
        <v>85</v>
      </c>
      <c r="B86" s="17" t="s">
        <v>233</v>
      </c>
      <c r="C86" s="17" t="s">
        <v>45</v>
      </c>
      <c r="D86" s="18" t="s">
        <v>212</v>
      </c>
      <c r="E86" s="18" t="s">
        <v>95</v>
      </c>
      <c r="F86" s="18" t="s">
        <v>96</v>
      </c>
      <c r="G86" s="18" t="s">
        <v>107</v>
      </c>
      <c r="H86" s="18" t="s">
        <v>98</v>
      </c>
      <c r="I86" s="17" t="s">
        <v>49</v>
      </c>
      <c r="J86" s="18"/>
    </row>
    <row r="87" customFormat="false" ht="31.5" hidden="false" customHeight="true" outlineLevel="0" collapsed="false">
      <c r="A87" s="17" t="n">
        <v>86</v>
      </c>
      <c r="B87" s="17" t="s">
        <v>234</v>
      </c>
      <c r="C87" s="17" t="s">
        <v>51</v>
      </c>
      <c r="D87" s="18" t="s">
        <v>212</v>
      </c>
      <c r="E87" s="18" t="s">
        <v>100</v>
      </c>
      <c r="F87" s="18" t="s">
        <v>101</v>
      </c>
      <c r="G87" s="18" t="s">
        <v>112</v>
      </c>
      <c r="H87" s="19" t="s">
        <v>235</v>
      </c>
      <c r="I87" s="17" t="s">
        <v>49</v>
      </c>
      <c r="J87" s="18"/>
    </row>
    <row r="88" customFormat="false" ht="31.5" hidden="false" customHeight="true" outlineLevel="0" collapsed="false">
      <c r="A88" s="17" t="n">
        <v>87</v>
      </c>
      <c r="B88" s="17" t="s">
        <v>236</v>
      </c>
      <c r="C88" s="17" t="s">
        <v>54</v>
      </c>
      <c r="D88" s="18" t="s">
        <v>212</v>
      </c>
      <c r="E88" s="18" t="s">
        <v>105</v>
      </c>
      <c r="F88" s="18" t="s">
        <v>106</v>
      </c>
      <c r="G88" s="18" t="s">
        <v>116</v>
      </c>
      <c r="H88" s="18" t="s">
        <v>78</v>
      </c>
      <c r="I88" s="17" t="s">
        <v>49</v>
      </c>
      <c r="J88" s="18"/>
    </row>
    <row r="89" customFormat="false" ht="31.5" hidden="false" customHeight="true" outlineLevel="0" collapsed="false">
      <c r="A89" s="17" t="n">
        <v>88</v>
      </c>
      <c r="B89" s="17" t="s">
        <v>237</v>
      </c>
      <c r="C89" s="17" t="s">
        <v>57</v>
      </c>
      <c r="D89" s="18" t="s">
        <v>212</v>
      </c>
      <c r="E89" s="18" t="s">
        <v>110</v>
      </c>
      <c r="F89" s="18" t="s">
        <v>111</v>
      </c>
      <c r="G89" s="18" t="s">
        <v>72</v>
      </c>
      <c r="H89" s="18" t="s">
        <v>83</v>
      </c>
      <c r="I89" s="17" t="s">
        <v>49</v>
      </c>
      <c r="J89" s="18"/>
    </row>
    <row r="90" customFormat="false" ht="31.5" hidden="false" customHeight="true" outlineLevel="0" collapsed="false">
      <c r="A90" s="17" t="n">
        <v>89</v>
      </c>
      <c r="B90" s="17" t="s">
        <v>238</v>
      </c>
      <c r="C90" s="17" t="s">
        <v>60</v>
      </c>
      <c r="D90" s="18" t="s">
        <v>212</v>
      </c>
      <c r="E90" s="18" t="s">
        <v>114</v>
      </c>
      <c r="F90" s="18" t="s">
        <v>115</v>
      </c>
      <c r="G90" s="18" t="s">
        <v>77</v>
      </c>
      <c r="H90" s="9" t="s">
        <v>124</v>
      </c>
      <c r="I90" s="17" t="s">
        <v>49</v>
      </c>
      <c r="J90" s="18"/>
    </row>
    <row r="91" customFormat="false" ht="31.5" hidden="false" customHeight="true" outlineLevel="0" collapsed="false">
      <c r="A91" s="17" t="n">
        <v>90</v>
      </c>
      <c r="B91" s="17" t="s">
        <v>239</v>
      </c>
      <c r="C91" s="17" t="s">
        <v>63</v>
      </c>
      <c r="D91" s="18" t="s">
        <v>212</v>
      </c>
      <c r="E91" s="18" t="s">
        <v>118</v>
      </c>
      <c r="F91" s="18" t="s">
        <v>119</v>
      </c>
      <c r="G91" s="18" t="s">
        <v>82</v>
      </c>
      <c r="H91" s="19" t="s">
        <v>240</v>
      </c>
      <c r="I91" s="17" t="s">
        <v>49</v>
      </c>
      <c r="J91" s="18"/>
    </row>
  </sheetData>
  <dataValidations count="1">
    <dataValidation allowBlank="true" errorStyle="stop" operator="between" showDropDown="false" showErrorMessage="false" showInputMessage="false" sqref="I2:I91" type="list">
      <formula1>"⬜ لم يبدأ,🔵 قيد التنفيذ,✅ منشور,⏭️ مؤجل"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58"/>
    <col collapsed="false" customWidth="true" hidden="false" outlineLevel="0" max="5" min="4" style="0" width="18"/>
    <col collapsed="false" customWidth="true" hidden="false" outlineLevel="0" max="6" min="6" style="0" width="30"/>
  </cols>
  <sheetData>
    <row r="1" customFormat="false" ht="30" hidden="false" customHeight="true" outlineLevel="0" collapsed="false">
      <c r="A1" s="20" t="s">
        <v>241</v>
      </c>
      <c r="B1" s="20" t="s">
        <v>242</v>
      </c>
      <c r="C1" s="20" t="s">
        <v>243</v>
      </c>
      <c r="D1" s="20" t="s">
        <v>244</v>
      </c>
      <c r="E1" s="20" t="s">
        <v>245</v>
      </c>
      <c r="F1" s="20" t="s">
        <v>246</v>
      </c>
    </row>
    <row r="2" customFormat="false" ht="21.75" hidden="false" customHeight="true" outlineLevel="0" collapsed="false">
      <c r="A2" s="10" t="n">
        <v>1</v>
      </c>
      <c r="B2" s="11" t="s">
        <v>247</v>
      </c>
      <c r="C2" s="11" t="s">
        <v>248</v>
      </c>
      <c r="D2" s="11" t="s">
        <v>249</v>
      </c>
      <c r="E2" s="11" t="s">
        <v>250</v>
      </c>
      <c r="F2" s="11" t="s">
        <v>47</v>
      </c>
    </row>
    <row r="3" customFormat="false" ht="21.75" hidden="false" customHeight="true" outlineLevel="0" collapsed="false">
      <c r="A3" s="21" t="n">
        <v>2</v>
      </c>
      <c r="B3" s="22" t="s">
        <v>247</v>
      </c>
      <c r="C3" s="22" t="s">
        <v>251</v>
      </c>
      <c r="D3" s="22" t="s">
        <v>252</v>
      </c>
      <c r="E3" s="22" t="s">
        <v>253</v>
      </c>
      <c r="F3" s="22" t="s">
        <v>254</v>
      </c>
    </row>
    <row r="4" customFormat="false" ht="21.75" hidden="false" customHeight="true" outlineLevel="0" collapsed="false">
      <c r="A4" s="10" t="n">
        <v>3</v>
      </c>
      <c r="B4" s="11" t="s">
        <v>247</v>
      </c>
      <c r="C4" s="11" t="s">
        <v>255</v>
      </c>
      <c r="D4" s="11" t="s">
        <v>256</v>
      </c>
      <c r="E4" s="11" t="s">
        <v>250</v>
      </c>
      <c r="F4" s="11" t="s">
        <v>257</v>
      </c>
    </row>
    <row r="5" customFormat="false" ht="21.75" hidden="false" customHeight="true" outlineLevel="0" collapsed="false">
      <c r="A5" s="21" t="n">
        <v>4</v>
      </c>
      <c r="B5" s="22" t="s">
        <v>247</v>
      </c>
      <c r="C5" s="22" t="s">
        <v>258</v>
      </c>
      <c r="D5" s="22" t="s">
        <v>259</v>
      </c>
      <c r="E5" s="22" t="s">
        <v>253</v>
      </c>
      <c r="F5" s="22" t="s">
        <v>260</v>
      </c>
    </row>
    <row r="6" customFormat="false" ht="21.75" hidden="false" customHeight="true" outlineLevel="0" collapsed="false">
      <c r="A6" s="10" t="n">
        <v>5</v>
      </c>
      <c r="B6" s="11" t="s">
        <v>247</v>
      </c>
      <c r="C6" s="11" t="s">
        <v>261</v>
      </c>
      <c r="D6" s="11" t="s">
        <v>259</v>
      </c>
      <c r="E6" s="11" t="s">
        <v>253</v>
      </c>
      <c r="F6" s="11" t="s">
        <v>47</v>
      </c>
    </row>
    <row r="7" customFormat="false" ht="21.75" hidden="false" customHeight="true" outlineLevel="0" collapsed="false">
      <c r="A7" s="21" t="n">
        <v>6</v>
      </c>
      <c r="B7" s="22" t="s">
        <v>247</v>
      </c>
      <c r="C7" s="22" t="s">
        <v>262</v>
      </c>
      <c r="D7" s="22" t="s">
        <v>263</v>
      </c>
      <c r="E7" s="22" t="s">
        <v>264</v>
      </c>
      <c r="F7" s="22" t="s">
        <v>265</v>
      </c>
    </row>
    <row r="8" customFormat="false" ht="21.75" hidden="false" customHeight="true" outlineLevel="0" collapsed="false">
      <c r="A8" s="10" t="n">
        <v>7</v>
      </c>
      <c r="B8" s="11" t="s">
        <v>247</v>
      </c>
      <c r="C8" s="11" t="s">
        <v>266</v>
      </c>
      <c r="D8" s="11" t="s">
        <v>263</v>
      </c>
      <c r="E8" s="11" t="s">
        <v>250</v>
      </c>
      <c r="F8" s="11" t="s">
        <v>47</v>
      </c>
    </row>
    <row r="9" customFormat="false" ht="21.75" hidden="false" customHeight="true" outlineLevel="0" collapsed="false">
      <c r="A9" s="21" t="n">
        <v>8</v>
      </c>
      <c r="B9" s="22" t="s">
        <v>247</v>
      </c>
      <c r="C9" s="22" t="s">
        <v>267</v>
      </c>
      <c r="D9" s="22" t="s">
        <v>263</v>
      </c>
      <c r="E9" s="22" t="s">
        <v>264</v>
      </c>
      <c r="F9" s="22" t="s">
        <v>47</v>
      </c>
    </row>
    <row r="10" customFormat="false" ht="21.75" hidden="false" customHeight="true" outlineLevel="0" collapsed="false">
      <c r="A10" s="10" t="n">
        <v>9</v>
      </c>
      <c r="B10" s="11" t="s">
        <v>247</v>
      </c>
      <c r="C10" s="11" t="s">
        <v>268</v>
      </c>
      <c r="D10" s="11" t="s">
        <v>263</v>
      </c>
      <c r="E10" s="11" t="s">
        <v>253</v>
      </c>
      <c r="F10" s="11" t="s">
        <v>269</v>
      </c>
    </row>
    <row r="11" customFormat="false" ht="21.75" hidden="false" customHeight="true" outlineLevel="0" collapsed="false">
      <c r="A11" s="21" t="n">
        <v>10</v>
      </c>
      <c r="B11" s="22" t="s">
        <v>247</v>
      </c>
      <c r="C11" s="22" t="s">
        <v>270</v>
      </c>
      <c r="D11" s="22" t="s">
        <v>271</v>
      </c>
      <c r="E11" s="22" t="s">
        <v>250</v>
      </c>
      <c r="F11" s="22" t="s">
        <v>47</v>
      </c>
    </row>
    <row r="12" customFormat="false" ht="21.75" hidden="false" customHeight="true" outlineLevel="0" collapsed="false">
      <c r="A12" s="10" t="n">
        <v>11</v>
      </c>
      <c r="B12" s="11" t="s">
        <v>247</v>
      </c>
      <c r="C12" s="11" t="s">
        <v>272</v>
      </c>
      <c r="D12" s="11" t="s">
        <v>259</v>
      </c>
      <c r="E12" s="11" t="s">
        <v>264</v>
      </c>
      <c r="F12" s="11" t="s">
        <v>47</v>
      </c>
    </row>
    <row r="13" customFormat="false" ht="21.75" hidden="false" customHeight="true" outlineLevel="0" collapsed="false">
      <c r="A13" s="21" t="n">
        <v>12</v>
      </c>
      <c r="B13" s="22" t="s">
        <v>247</v>
      </c>
      <c r="C13" s="22" t="s">
        <v>273</v>
      </c>
      <c r="D13" s="22" t="s">
        <v>249</v>
      </c>
      <c r="E13" s="22" t="s">
        <v>253</v>
      </c>
      <c r="F13" s="22" t="s">
        <v>47</v>
      </c>
    </row>
    <row r="14" customFormat="false" ht="21.75" hidden="false" customHeight="true" outlineLevel="0" collapsed="false">
      <c r="A14" s="10" t="n">
        <v>13</v>
      </c>
      <c r="B14" s="11" t="s">
        <v>247</v>
      </c>
      <c r="C14" s="11" t="s">
        <v>274</v>
      </c>
      <c r="D14" s="11" t="s">
        <v>259</v>
      </c>
      <c r="E14" s="11" t="s">
        <v>275</v>
      </c>
      <c r="F14" s="11" t="s">
        <v>47</v>
      </c>
    </row>
    <row r="15" customFormat="false" ht="21.75" hidden="false" customHeight="true" outlineLevel="0" collapsed="false">
      <c r="A15" s="21" t="n">
        <v>14</v>
      </c>
      <c r="B15" s="22" t="s">
        <v>247</v>
      </c>
      <c r="C15" s="22" t="s">
        <v>276</v>
      </c>
      <c r="D15" s="22" t="s">
        <v>263</v>
      </c>
      <c r="E15" s="22" t="s">
        <v>250</v>
      </c>
      <c r="F15" s="22" t="s">
        <v>47</v>
      </c>
    </row>
    <row r="16" customFormat="false" ht="21.75" hidden="false" customHeight="true" outlineLevel="0" collapsed="false">
      <c r="A16" s="10" t="n">
        <v>15</v>
      </c>
      <c r="B16" s="11" t="s">
        <v>277</v>
      </c>
      <c r="C16" s="11" t="s">
        <v>122</v>
      </c>
      <c r="D16" s="11" t="s">
        <v>263</v>
      </c>
      <c r="E16" s="11" t="s">
        <v>253</v>
      </c>
      <c r="F16" s="11" t="s">
        <v>278</v>
      </c>
    </row>
    <row r="17" customFormat="false" ht="21.75" hidden="false" customHeight="true" outlineLevel="0" collapsed="false">
      <c r="A17" s="21" t="n">
        <v>16</v>
      </c>
      <c r="B17" s="22" t="s">
        <v>277</v>
      </c>
      <c r="C17" s="22" t="s">
        <v>279</v>
      </c>
      <c r="D17" s="22" t="s">
        <v>263</v>
      </c>
      <c r="E17" s="22" t="s">
        <v>253</v>
      </c>
      <c r="F17" s="22" t="s">
        <v>280</v>
      </c>
    </row>
    <row r="18" customFormat="false" ht="21.75" hidden="false" customHeight="true" outlineLevel="0" collapsed="false">
      <c r="A18" s="10" t="n">
        <v>17</v>
      </c>
      <c r="B18" s="11" t="s">
        <v>277</v>
      </c>
      <c r="C18" s="11" t="s">
        <v>281</v>
      </c>
      <c r="D18" s="11" t="s">
        <v>263</v>
      </c>
      <c r="E18" s="11" t="s">
        <v>253</v>
      </c>
      <c r="F18" s="11" t="s">
        <v>47</v>
      </c>
    </row>
    <row r="19" customFormat="false" ht="21.75" hidden="false" customHeight="true" outlineLevel="0" collapsed="false">
      <c r="A19" s="21" t="n">
        <v>18</v>
      </c>
      <c r="B19" s="22" t="s">
        <v>277</v>
      </c>
      <c r="C19" s="22" t="s">
        <v>282</v>
      </c>
      <c r="D19" s="22" t="s">
        <v>263</v>
      </c>
      <c r="E19" s="22" t="s">
        <v>264</v>
      </c>
      <c r="F19" s="22" t="s">
        <v>283</v>
      </c>
    </row>
    <row r="20" customFormat="false" ht="21.75" hidden="false" customHeight="true" outlineLevel="0" collapsed="false">
      <c r="A20" s="10" t="n">
        <v>19</v>
      </c>
      <c r="B20" s="11" t="s">
        <v>277</v>
      </c>
      <c r="C20" s="11" t="s">
        <v>284</v>
      </c>
      <c r="D20" s="11" t="s">
        <v>259</v>
      </c>
      <c r="E20" s="11" t="s">
        <v>253</v>
      </c>
      <c r="F20" s="11" t="s">
        <v>285</v>
      </c>
    </row>
    <row r="21" customFormat="false" ht="21.75" hidden="false" customHeight="true" outlineLevel="0" collapsed="false">
      <c r="A21" s="21" t="n">
        <v>20</v>
      </c>
      <c r="B21" s="22" t="s">
        <v>277</v>
      </c>
      <c r="C21" s="22" t="s">
        <v>286</v>
      </c>
      <c r="D21" s="22" t="s">
        <v>263</v>
      </c>
      <c r="E21" s="22" t="s">
        <v>287</v>
      </c>
      <c r="F21" s="22" t="s">
        <v>288</v>
      </c>
    </row>
    <row r="22" customFormat="false" ht="21.75" hidden="false" customHeight="true" outlineLevel="0" collapsed="false">
      <c r="A22" s="10" t="n">
        <v>21</v>
      </c>
      <c r="B22" s="11" t="s">
        <v>277</v>
      </c>
      <c r="C22" s="11" t="s">
        <v>289</v>
      </c>
      <c r="D22" s="11" t="s">
        <v>259</v>
      </c>
      <c r="E22" s="11" t="s">
        <v>253</v>
      </c>
      <c r="F22" s="11" t="s">
        <v>290</v>
      </c>
    </row>
    <row r="23" customFormat="false" ht="21.75" hidden="false" customHeight="true" outlineLevel="0" collapsed="false">
      <c r="A23" s="21" t="n">
        <v>22</v>
      </c>
      <c r="B23" s="22" t="s">
        <v>277</v>
      </c>
      <c r="C23" s="22" t="s">
        <v>291</v>
      </c>
      <c r="D23" s="22" t="s">
        <v>263</v>
      </c>
      <c r="E23" s="22" t="s">
        <v>253</v>
      </c>
      <c r="F23" s="22" t="s">
        <v>292</v>
      </c>
    </row>
    <row r="24" customFormat="false" ht="21.75" hidden="false" customHeight="true" outlineLevel="0" collapsed="false">
      <c r="A24" s="10" t="n">
        <v>23</v>
      </c>
      <c r="B24" s="11" t="s">
        <v>277</v>
      </c>
      <c r="C24" s="11" t="s">
        <v>293</v>
      </c>
      <c r="D24" s="11" t="s">
        <v>294</v>
      </c>
      <c r="E24" s="11" t="s">
        <v>264</v>
      </c>
      <c r="F24" s="11" t="s">
        <v>295</v>
      </c>
    </row>
    <row r="25" customFormat="false" ht="21.75" hidden="false" customHeight="true" outlineLevel="0" collapsed="false">
      <c r="A25" s="21" t="n">
        <v>24</v>
      </c>
      <c r="B25" s="22" t="s">
        <v>277</v>
      </c>
      <c r="C25" s="22" t="s">
        <v>296</v>
      </c>
      <c r="D25" s="22" t="s">
        <v>259</v>
      </c>
      <c r="E25" s="22" t="s">
        <v>287</v>
      </c>
      <c r="F25" s="22" t="s">
        <v>297</v>
      </c>
    </row>
    <row r="26" customFormat="false" ht="21.75" hidden="false" customHeight="true" outlineLevel="0" collapsed="false">
      <c r="A26" s="10" t="n">
        <v>25</v>
      </c>
      <c r="B26" s="11" t="s">
        <v>298</v>
      </c>
      <c r="C26" s="11" t="s">
        <v>299</v>
      </c>
      <c r="D26" s="11" t="s">
        <v>271</v>
      </c>
      <c r="E26" s="11" t="s">
        <v>253</v>
      </c>
      <c r="F26" s="11" t="s">
        <v>300</v>
      </c>
    </row>
    <row r="27" customFormat="false" ht="21.75" hidden="false" customHeight="true" outlineLevel="0" collapsed="false">
      <c r="A27" s="21" t="n">
        <v>26</v>
      </c>
      <c r="B27" s="22" t="s">
        <v>298</v>
      </c>
      <c r="C27" s="22" t="s">
        <v>100</v>
      </c>
      <c r="D27" s="22" t="s">
        <v>263</v>
      </c>
      <c r="E27" s="22" t="s">
        <v>253</v>
      </c>
      <c r="F27" s="22" t="s">
        <v>269</v>
      </c>
    </row>
    <row r="28" customFormat="false" ht="21.75" hidden="false" customHeight="true" outlineLevel="0" collapsed="false">
      <c r="A28" s="10" t="n">
        <v>27</v>
      </c>
      <c r="B28" s="11" t="s">
        <v>298</v>
      </c>
      <c r="C28" s="11" t="s">
        <v>301</v>
      </c>
      <c r="D28" s="11" t="s">
        <v>263</v>
      </c>
      <c r="E28" s="11" t="s">
        <v>253</v>
      </c>
      <c r="F28" s="11" t="s">
        <v>280</v>
      </c>
    </row>
    <row r="29" customFormat="false" ht="21.75" hidden="false" customHeight="true" outlineLevel="0" collapsed="false">
      <c r="A29" s="21" t="n">
        <v>28</v>
      </c>
      <c r="B29" s="22" t="s">
        <v>298</v>
      </c>
      <c r="C29" s="22" t="s">
        <v>302</v>
      </c>
      <c r="D29" s="22" t="s">
        <v>259</v>
      </c>
      <c r="E29" s="22" t="s">
        <v>250</v>
      </c>
      <c r="F29" s="22" t="s">
        <v>303</v>
      </c>
    </row>
    <row r="30" customFormat="false" ht="21.75" hidden="false" customHeight="true" outlineLevel="0" collapsed="false">
      <c r="A30" s="10" t="n">
        <v>29</v>
      </c>
      <c r="B30" s="11" t="s">
        <v>298</v>
      </c>
      <c r="C30" s="11" t="s">
        <v>304</v>
      </c>
      <c r="D30" s="11" t="s">
        <v>259</v>
      </c>
      <c r="E30" s="11" t="s">
        <v>250</v>
      </c>
      <c r="F30" s="11" t="s">
        <v>303</v>
      </c>
    </row>
    <row r="31" customFormat="false" ht="21.75" hidden="false" customHeight="true" outlineLevel="0" collapsed="false">
      <c r="A31" s="21" t="n">
        <v>30</v>
      </c>
      <c r="B31" s="22" t="s">
        <v>298</v>
      </c>
      <c r="C31" s="22" t="s">
        <v>305</v>
      </c>
      <c r="D31" s="22" t="s">
        <v>263</v>
      </c>
      <c r="E31" s="22" t="s">
        <v>253</v>
      </c>
      <c r="F31" s="22" t="s">
        <v>306</v>
      </c>
    </row>
    <row r="32" customFormat="false" ht="21.75" hidden="false" customHeight="true" outlineLevel="0" collapsed="false">
      <c r="A32" s="10" t="n">
        <v>31</v>
      </c>
      <c r="B32" s="11" t="s">
        <v>298</v>
      </c>
      <c r="C32" s="11" t="s">
        <v>105</v>
      </c>
      <c r="D32" s="11" t="s">
        <v>259</v>
      </c>
      <c r="E32" s="11" t="s">
        <v>253</v>
      </c>
      <c r="F32" s="11" t="s">
        <v>300</v>
      </c>
    </row>
    <row r="33" customFormat="false" ht="21.75" hidden="false" customHeight="true" outlineLevel="0" collapsed="false">
      <c r="A33" s="21" t="n">
        <v>32</v>
      </c>
      <c r="B33" s="22" t="s">
        <v>298</v>
      </c>
      <c r="C33" s="22" t="s">
        <v>307</v>
      </c>
      <c r="D33" s="22" t="s">
        <v>259</v>
      </c>
      <c r="E33" s="22" t="s">
        <v>264</v>
      </c>
      <c r="F33" s="22" t="s">
        <v>308</v>
      </c>
    </row>
    <row r="34" customFormat="false" ht="21.75" hidden="false" customHeight="true" outlineLevel="0" collapsed="false">
      <c r="A34" s="10" t="n">
        <v>33</v>
      </c>
      <c r="B34" s="11" t="s">
        <v>298</v>
      </c>
      <c r="C34" s="11" t="s">
        <v>309</v>
      </c>
      <c r="D34" s="11" t="s">
        <v>263</v>
      </c>
      <c r="E34" s="11" t="s">
        <v>287</v>
      </c>
      <c r="F34" s="11" t="s">
        <v>310</v>
      </c>
    </row>
    <row r="35" customFormat="false" ht="21.75" hidden="false" customHeight="true" outlineLevel="0" collapsed="false">
      <c r="A35" s="21" t="n">
        <v>34</v>
      </c>
      <c r="B35" s="22" t="s">
        <v>298</v>
      </c>
      <c r="C35" s="22" t="s">
        <v>311</v>
      </c>
      <c r="D35" s="22" t="s">
        <v>271</v>
      </c>
      <c r="E35" s="22" t="s">
        <v>253</v>
      </c>
      <c r="F35" s="22" t="s">
        <v>300</v>
      </c>
    </row>
    <row r="36" customFormat="false" ht="21.75" hidden="false" customHeight="true" outlineLevel="0" collapsed="false">
      <c r="A36" s="10" t="n">
        <v>35</v>
      </c>
      <c r="B36" s="11" t="s">
        <v>298</v>
      </c>
      <c r="C36" s="11" t="s">
        <v>312</v>
      </c>
      <c r="D36" s="11" t="s">
        <v>259</v>
      </c>
      <c r="E36" s="11" t="s">
        <v>253</v>
      </c>
      <c r="F36" s="11" t="s">
        <v>300</v>
      </c>
    </row>
    <row r="37" customFormat="false" ht="21.75" hidden="false" customHeight="true" outlineLevel="0" collapsed="false">
      <c r="A37" s="21" t="n">
        <v>36</v>
      </c>
      <c r="B37" s="22" t="s">
        <v>298</v>
      </c>
      <c r="C37" s="22" t="s">
        <v>313</v>
      </c>
      <c r="D37" s="22" t="s">
        <v>263</v>
      </c>
      <c r="E37" s="22" t="s">
        <v>253</v>
      </c>
      <c r="F37" s="22" t="s">
        <v>314</v>
      </c>
    </row>
    <row r="38" customFormat="false" ht="21.75" hidden="false" customHeight="true" outlineLevel="0" collapsed="false">
      <c r="A38" s="10" t="n">
        <v>37</v>
      </c>
      <c r="B38" s="11" t="s">
        <v>315</v>
      </c>
      <c r="C38" s="11" t="s">
        <v>316</v>
      </c>
      <c r="D38" s="11" t="s">
        <v>249</v>
      </c>
      <c r="E38" s="11" t="s">
        <v>253</v>
      </c>
      <c r="F38" s="11" t="s">
        <v>47</v>
      </c>
    </row>
    <row r="39" customFormat="false" ht="21.75" hidden="false" customHeight="true" outlineLevel="0" collapsed="false">
      <c r="A39" s="21" t="n">
        <v>38</v>
      </c>
      <c r="B39" s="22" t="s">
        <v>315</v>
      </c>
      <c r="C39" s="22" t="s">
        <v>317</v>
      </c>
      <c r="D39" s="22" t="s">
        <v>271</v>
      </c>
      <c r="E39" s="22" t="s">
        <v>253</v>
      </c>
      <c r="F39" s="22" t="s">
        <v>47</v>
      </c>
    </row>
    <row r="40" customFormat="false" ht="21.75" hidden="false" customHeight="true" outlineLevel="0" collapsed="false">
      <c r="A40" s="10" t="n">
        <v>39</v>
      </c>
      <c r="B40" s="11" t="s">
        <v>315</v>
      </c>
      <c r="C40" s="11" t="s">
        <v>318</v>
      </c>
      <c r="D40" s="11" t="s">
        <v>259</v>
      </c>
      <c r="E40" s="11" t="s">
        <v>275</v>
      </c>
      <c r="F40" s="11" t="s">
        <v>47</v>
      </c>
    </row>
    <row r="41" customFormat="false" ht="21.75" hidden="false" customHeight="true" outlineLevel="0" collapsed="false">
      <c r="A41" s="21" t="n">
        <v>40</v>
      </c>
      <c r="B41" s="22" t="s">
        <v>315</v>
      </c>
      <c r="C41" s="22" t="s">
        <v>319</v>
      </c>
      <c r="D41" s="22" t="s">
        <v>249</v>
      </c>
      <c r="E41" s="22" t="s">
        <v>253</v>
      </c>
      <c r="F41" s="22" t="s">
        <v>47</v>
      </c>
    </row>
    <row r="42" customFormat="false" ht="21.75" hidden="false" customHeight="true" outlineLevel="0" collapsed="false">
      <c r="A42" s="10" t="n">
        <v>41</v>
      </c>
      <c r="B42" s="11" t="s">
        <v>315</v>
      </c>
      <c r="C42" s="11" t="s">
        <v>320</v>
      </c>
      <c r="D42" s="11" t="s">
        <v>271</v>
      </c>
      <c r="E42" s="11" t="s">
        <v>264</v>
      </c>
      <c r="F42" s="11" t="s">
        <v>47</v>
      </c>
    </row>
    <row r="43" customFormat="false" ht="21.75" hidden="false" customHeight="true" outlineLevel="0" collapsed="false">
      <c r="A43" s="21" t="n">
        <v>42</v>
      </c>
      <c r="B43" s="22" t="s">
        <v>315</v>
      </c>
      <c r="C43" s="22" t="s">
        <v>321</v>
      </c>
      <c r="D43" s="22" t="s">
        <v>271</v>
      </c>
      <c r="E43" s="22" t="s">
        <v>287</v>
      </c>
      <c r="F43" s="22" t="s">
        <v>47</v>
      </c>
    </row>
    <row r="44" customFormat="false" ht="21.75" hidden="false" customHeight="true" outlineLevel="0" collapsed="false">
      <c r="A44" s="10" t="n">
        <v>43</v>
      </c>
      <c r="B44" s="11" t="s">
        <v>315</v>
      </c>
      <c r="C44" s="11" t="s">
        <v>322</v>
      </c>
      <c r="D44" s="11" t="s">
        <v>271</v>
      </c>
      <c r="E44" s="11" t="s">
        <v>253</v>
      </c>
      <c r="F44" s="11" t="s">
        <v>300</v>
      </c>
    </row>
    <row r="45" customFormat="false" ht="21.75" hidden="false" customHeight="true" outlineLevel="0" collapsed="false">
      <c r="A45" s="21" t="n">
        <v>44</v>
      </c>
      <c r="B45" s="22" t="s">
        <v>315</v>
      </c>
      <c r="C45" s="22" t="s">
        <v>323</v>
      </c>
      <c r="D45" s="22" t="s">
        <v>271</v>
      </c>
      <c r="E45" s="22" t="s">
        <v>275</v>
      </c>
      <c r="F45" s="22" t="s">
        <v>47</v>
      </c>
    </row>
    <row r="46" customFormat="false" ht="21.75" hidden="false" customHeight="true" outlineLevel="0" collapsed="false">
      <c r="A46" s="10" t="n">
        <v>45</v>
      </c>
      <c r="B46" s="11" t="s">
        <v>324</v>
      </c>
      <c r="C46" s="11" t="s">
        <v>325</v>
      </c>
      <c r="D46" s="11" t="s">
        <v>271</v>
      </c>
      <c r="E46" s="11" t="s">
        <v>264</v>
      </c>
      <c r="F46" s="11" t="s">
        <v>47</v>
      </c>
    </row>
    <row r="47" customFormat="false" ht="21.75" hidden="false" customHeight="true" outlineLevel="0" collapsed="false">
      <c r="A47" s="21" t="n">
        <v>46</v>
      </c>
      <c r="B47" s="22" t="s">
        <v>324</v>
      </c>
      <c r="C47" s="22" t="s">
        <v>326</v>
      </c>
      <c r="D47" s="22" t="s">
        <v>271</v>
      </c>
      <c r="E47" s="22" t="s">
        <v>253</v>
      </c>
      <c r="F47" s="22" t="s">
        <v>47</v>
      </c>
    </row>
    <row r="48" customFormat="false" ht="21.75" hidden="false" customHeight="true" outlineLevel="0" collapsed="false">
      <c r="A48" s="10" t="n">
        <v>47</v>
      </c>
      <c r="B48" s="11" t="s">
        <v>324</v>
      </c>
      <c r="C48" s="11" t="s">
        <v>327</v>
      </c>
      <c r="D48" s="11" t="s">
        <v>271</v>
      </c>
      <c r="E48" s="11" t="s">
        <v>328</v>
      </c>
      <c r="F48" s="11" t="s">
        <v>47</v>
      </c>
    </row>
    <row r="49" customFormat="false" ht="21.75" hidden="false" customHeight="true" outlineLevel="0" collapsed="false">
      <c r="A49" s="21" t="n">
        <v>48</v>
      </c>
      <c r="B49" s="22" t="s">
        <v>324</v>
      </c>
      <c r="C49" s="22" t="s">
        <v>329</v>
      </c>
      <c r="D49" s="22" t="s">
        <v>271</v>
      </c>
      <c r="E49" s="22" t="s">
        <v>264</v>
      </c>
      <c r="F49" s="22" t="s">
        <v>47</v>
      </c>
    </row>
    <row r="50" customFormat="false" ht="21.75" hidden="false" customHeight="true" outlineLevel="0" collapsed="false">
      <c r="A50" s="10" t="n">
        <v>49</v>
      </c>
      <c r="B50" s="11" t="s">
        <v>324</v>
      </c>
      <c r="C50" s="11" t="s">
        <v>330</v>
      </c>
      <c r="D50" s="11" t="s">
        <v>271</v>
      </c>
      <c r="E50" s="11" t="s">
        <v>328</v>
      </c>
      <c r="F50" s="11" t="s">
        <v>47</v>
      </c>
    </row>
    <row r="51" customFormat="false" ht="21.75" hidden="false" customHeight="true" outlineLevel="0" collapsed="false">
      <c r="A51" s="21" t="n">
        <v>50</v>
      </c>
      <c r="B51" s="22" t="s">
        <v>324</v>
      </c>
      <c r="C51" s="22" t="s">
        <v>331</v>
      </c>
      <c r="D51" s="22" t="s">
        <v>271</v>
      </c>
      <c r="E51" s="22" t="s">
        <v>253</v>
      </c>
      <c r="F51" s="22" t="s">
        <v>332</v>
      </c>
    </row>
    <row r="52" customFormat="false" ht="21.75" hidden="false" customHeight="true" outlineLevel="0" collapsed="false">
      <c r="A52" s="10" t="n">
        <v>51</v>
      </c>
      <c r="B52" s="11" t="s">
        <v>324</v>
      </c>
      <c r="C52" s="11" t="s">
        <v>333</v>
      </c>
      <c r="D52" s="11" t="s">
        <v>271</v>
      </c>
      <c r="E52" s="11" t="s">
        <v>334</v>
      </c>
      <c r="F52" s="11" t="s">
        <v>47</v>
      </c>
    </row>
    <row r="53" customFormat="false" ht="21.75" hidden="false" customHeight="true" outlineLevel="0" collapsed="false">
      <c r="A53" s="21" t="n">
        <v>52</v>
      </c>
      <c r="B53" s="22" t="s">
        <v>324</v>
      </c>
      <c r="C53" s="22" t="s">
        <v>335</v>
      </c>
      <c r="D53" s="22" t="s">
        <v>271</v>
      </c>
      <c r="E53" s="22" t="s">
        <v>287</v>
      </c>
      <c r="F53" s="22" t="s">
        <v>47</v>
      </c>
    </row>
    <row r="54" customFormat="false" ht="21.75" hidden="false" customHeight="true" outlineLevel="0" collapsed="false">
      <c r="A54" s="10" t="n">
        <v>53</v>
      </c>
      <c r="B54" s="11" t="s">
        <v>324</v>
      </c>
      <c r="C54" s="11" t="s">
        <v>336</v>
      </c>
      <c r="D54" s="11" t="s">
        <v>271</v>
      </c>
      <c r="E54" s="11" t="s">
        <v>337</v>
      </c>
      <c r="F54" s="11" t="s">
        <v>47</v>
      </c>
    </row>
    <row r="55" customFormat="false" ht="21.75" hidden="false" customHeight="true" outlineLevel="0" collapsed="false">
      <c r="A55" s="21" t="n">
        <v>54</v>
      </c>
      <c r="B55" s="22" t="s">
        <v>324</v>
      </c>
      <c r="C55" s="22" t="s">
        <v>114</v>
      </c>
      <c r="D55" s="22" t="s">
        <v>263</v>
      </c>
      <c r="E55" s="22" t="s">
        <v>253</v>
      </c>
      <c r="F55" s="22" t="s">
        <v>300</v>
      </c>
    </row>
    <row r="56" customFormat="false" ht="21.75" hidden="false" customHeight="true" outlineLevel="0" collapsed="false">
      <c r="A56" s="10" t="n">
        <v>55</v>
      </c>
      <c r="B56" s="11" t="s">
        <v>338</v>
      </c>
      <c r="C56" s="11" t="s">
        <v>339</v>
      </c>
      <c r="D56" s="11" t="s">
        <v>263</v>
      </c>
      <c r="E56" s="11" t="s">
        <v>253</v>
      </c>
      <c r="F56" s="11" t="s">
        <v>47</v>
      </c>
    </row>
    <row r="57" customFormat="false" ht="21.75" hidden="false" customHeight="true" outlineLevel="0" collapsed="false">
      <c r="A57" s="21" t="n">
        <v>56</v>
      </c>
      <c r="B57" s="22" t="s">
        <v>338</v>
      </c>
      <c r="C57" s="22" t="s">
        <v>340</v>
      </c>
      <c r="D57" s="22" t="s">
        <v>259</v>
      </c>
      <c r="E57" s="22" t="s">
        <v>253</v>
      </c>
      <c r="F57" s="22" t="s">
        <v>47</v>
      </c>
    </row>
    <row r="58" customFormat="false" ht="21.75" hidden="false" customHeight="true" outlineLevel="0" collapsed="false">
      <c r="A58" s="10" t="n">
        <v>57</v>
      </c>
      <c r="B58" s="11" t="s">
        <v>338</v>
      </c>
      <c r="C58" s="11" t="s">
        <v>341</v>
      </c>
      <c r="D58" s="11" t="s">
        <v>259</v>
      </c>
      <c r="E58" s="11" t="s">
        <v>253</v>
      </c>
      <c r="F58" s="11" t="s">
        <v>47</v>
      </c>
    </row>
    <row r="59" customFormat="false" ht="21.75" hidden="false" customHeight="true" outlineLevel="0" collapsed="false">
      <c r="A59" s="21" t="n">
        <v>58</v>
      </c>
      <c r="B59" s="22" t="s">
        <v>338</v>
      </c>
      <c r="C59" s="22" t="s">
        <v>342</v>
      </c>
      <c r="D59" s="22" t="s">
        <v>259</v>
      </c>
      <c r="E59" s="22" t="s">
        <v>253</v>
      </c>
      <c r="F59" s="22" t="s">
        <v>47</v>
      </c>
    </row>
    <row r="60" customFormat="false" ht="21.75" hidden="false" customHeight="true" outlineLevel="0" collapsed="false">
      <c r="A60" s="10" t="n">
        <v>59</v>
      </c>
      <c r="B60" s="11" t="s">
        <v>338</v>
      </c>
      <c r="C60" s="11" t="s">
        <v>343</v>
      </c>
      <c r="D60" s="11" t="s">
        <v>259</v>
      </c>
      <c r="E60" s="11" t="s">
        <v>287</v>
      </c>
      <c r="F60" s="11" t="s">
        <v>47</v>
      </c>
    </row>
    <row r="61" customFormat="false" ht="21.75" hidden="false" customHeight="true" outlineLevel="0" collapsed="false">
      <c r="A61" s="21" t="n">
        <v>60</v>
      </c>
      <c r="B61" s="22" t="s">
        <v>338</v>
      </c>
      <c r="C61" s="22" t="s">
        <v>344</v>
      </c>
      <c r="D61" s="22" t="s">
        <v>259</v>
      </c>
      <c r="E61" s="22" t="s">
        <v>253</v>
      </c>
      <c r="F61" s="22" t="s">
        <v>47</v>
      </c>
    </row>
    <row r="62" customFormat="false" ht="21.75" hidden="false" customHeight="true" outlineLevel="0" collapsed="false">
      <c r="A62" s="10" t="n">
        <v>61</v>
      </c>
      <c r="B62" s="11" t="s">
        <v>345</v>
      </c>
      <c r="C62" s="11" t="s">
        <v>346</v>
      </c>
      <c r="D62" s="11" t="s">
        <v>294</v>
      </c>
      <c r="E62" s="11" t="s">
        <v>271</v>
      </c>
      <c r="F62" s="11" t="s">
        <v>347</v>
      </c>
    </row>
    <row r="63" customFormat="false" ht="21.75" hidden="false" customHeight="true" outlineLevel="0" collapsed="false">
      <c r="A63" s="21" t="n">
        <v>62</v>
      </c>
      <c r="B63" s="22" t="s">
        <v>345</v>
      </c>
      <c r="C63" s="22" t="s">
        <v>348</v>
      </c>
      <c r="D63" s="22" t="s">
        <v>271</v>
      </c>
      <c r="E63" s="22" t="s">
        <v>271</v>
      </c>
      <c r="F63" s="22" t="s">
        <v>47</v>
      </c>
    </row>
    <row r="64" customFormat="false" ht="21.75" hidden="false" customHeight="true" outlineLevel="0" collapsed="false">
      <c r="A64" s="10" t="n">
        <v>63</v>
      </c>
      <c r="B64" s="11" t="s">
        <v>345</v>
      </c>
      <c r="C64" s="11" t="s">
        <v>349</v>
      </c>
      <c r="D64" s="11" t="s">
        <v>271</v>
      </c>
      <c r="E64" s="11" t="s">
        <v>264</v>
      </c>
      <c r="F64" s="11" t="s">
        <v>47</v>
      </c>
    </row>
    <row r="65" customFormat="false" ht="21.75" hidden="false" customHeight="true" outlineLevel="0" collapsed="false">
      <c r="A65" s="21" t="n">
        <v>64</v>
      </c>
      <c r="B65" s="22" t="s">
        <v>345</v>
      </c>
      <c r="C65" s="22" t="s">
        <v>350</v>
      </c>
      <c r="D65" s="22" t="s">
        <v>271</v>
      </c>
      <c r="E65" s="22" t="s">
        <v>271</v>
      </c>
      <c r="F65" s="22" t="s">
        <v>300</v>
      </c>
    </row>
    <row r="66" customFormat="false" ht="21.75" hidden="false" customHeight="true" outlineLevel="0" collapsed="false">
      <c r="A66" s="10" t="n">
        <v>65</v>
      </c>
      <c r="B66" s="11" t="s">
        <v>345</v>
      </c>
      <c r="C66" s="11" t="s">
        <v>351</v>
      </c>
      <c r="D66" s="11" t="s">
        <v>263</v>
      </c>
      <c r="E66" s="11" t="s">
        <v>253</v>
      </c>
      <c r="F66" s="11" t="s">
        <v>352</v>
      </c>
    </row>
    <row r="67" customFormat="false" ht="21.75" hidden="false" customHeight="true" outlineLevel="0" collapsed="false">
      <c r="A67" s="21" t="n">
        <v>66</v>
      </c>
      <c r="B67" s="22" t="s">
        <v>345</v>
      </c>
      <c r="C67" s="22" t="s">
        <v>353</v>
      </c>
      <c r="D67" s="22" t="s">
        <v>271</v>
      </c>
      <c r="E67" s="22" t="s">
        <v>250</v>
      </c>
      <c r="F67" s="22" t="s">
        <v>47</v>
      </c>
    </row>
    <row r="68" customFormat="false" ht="21.75" hidden="false" customHeight="true" outlineLevel="0" collapsed="false">
      <c r="A68" s="10" t="n">
        <v>67</v>
      </c>
      <c r="B68" s="11" t="s">
        <v>354</v>
      </c>
      <c r="C68" s="11" t="s">
        <v>355</v>
      </c>
      <c r="D68" s="11" t="s">
        <v>271</v>
      </c>
      <c r="E68" s="11" t="s">
        <v>271</v>
      </c>
      <c r="F68" s="11" t="s">
        <v>300</v>
      </c>
    </row>
    <row r="69" customFormat="false" ht="21.75" hidden="false" customHeight="true" outlineLevel="0" collapsed="false">
      <c r="A69" s="21" t="n">
        <v>68</v>
      </c>
      <c r="B69" s="22" t="s">
        <v>354</v>
      </c>
      <c r="C69" s="22" t="s">
        <v>356</v>
      </c>
      <c r="D69" s="22" t="s">
        <v>259</v>
      </c>
      <c r="E69" s="22" t="s">
        <v>271</v>
      </c>
      <c r="F69" s="22" t="s">
        <v>357</v>
      </c>
    </row>
    <row r="70" customFormat="false" ht="21.75" hidden="false" customHeight="true" outlineLevel="0" collapsed="false">
      <c r="A70" s="10" t="n">
        <v>69</v>
      </c>
      <c r="B70" s="11" t="s">
        <v>354</v>
      </c>
      <c r="C70" s="11" t="s">
        <v>358</v>
      </c>
      <c r="D70" s="11" t="s">
        <v>271</v>
      </c>
      <c r="E70" s="11" t="s">
        <v>359</v>
      </c>
      <c r="F70" s="11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5" min="5" style="0" width="36"/>
  </cols>
  <sheetData>
    <row r="1" customFormat="false" ht="30" hidden="false" customHeight="true" outlineLevel="0" collapsed="false">
      <c r="A1" s="20" t="s">
        <v>241</v>
      </c>
      <c r="B1" s="20" t="s">
        <v>360</v>
      </c>
      <c r="C1" s="20" t="s">
        <v>361</v>
      </c>
      <c r="D1" s="20" t="s">
        <v>362</v>
      </c>
      <c r="E1" s="20" t="s">
        <v>363</v>
      </c>
    </row>
    <row r="2" customFormat="false" ht="33.75" hidden="false" customHeight="true" outlineLevel="0" collapsed="false">
      <c r="A2" s="14" t="n">
        <v>1</v>
      </c>
      <c r="B2" s="15" t="s">
        <v>364</v>
      </c>
      <c r="C2" s="15" t="s">
        <v>365</v>
      </c>
      <c r="D2" s="15" t="s">
        <v>366</v>
      </c>
      <c r="E2" s="15" t="s">
        <v>367</v>
      </c>
    </row>
    <row r="3" customFormat="false" ht="33.75" hidden="false" customHeight="true" outlineLevel="0" collapsed="false">
      <c r="A3" s="21" t="n">
        <v>2</v>
      </c>
      <c r="B3" s="22" t="s">
        <v>368</v>
      </c>
      <c r="C3" s="22" t="s">
        <v>369</v>
      </c>
      <c r="D3" s="22" t="s">
        <v>370</v>
      </c>
      <c r="E3" s="22" t="s">
        <v>371</v>
      </c>
    </row>
    <row r="4" customFormat="false" ht="33.75" hidden="false" customHeight="true" outlineLevel="0" collapsed="false">
      <c r="A4" s="14" t="n">
        <v>3</v>
      </c>
      <c r="B4" s="15" t="s">
        <v>372</v>
      </c>
      <c r="C4" s="15" t="s">
        <v>373</v>
      </c>
      <c r="D4" s="15" t="s">
        <v>374</v>
      </c>
      <c r="E4" s="15" t="s">
        <v>375</v>
      </c>
    </row>
    <row r="5" customFormat="false" ht="33.75" hidden="false" customHeight="true" outlineLevel="0" collapsed="false">
      <c r="A5" s="21" t="n">
        <v>4</v>
      </c>
      <c r="B5" s="22" t="s">
        <v>376</v>
      </c>
      <c r="C5" s="22" t="s">
        <v>377</v>
      </c>
      <c r="D5" s="22" t="s">
        <v>378</v>
      </c>
      <c r="E5" s="22" t="s">
        <v>379</v>
      </c>
    </row>
    <row r="6" customFormat="false" ht="33.75" hidden="false" customHeight="true" outlineLevel="0" collapsed="false">
      <c r="A6" s="14" t="n">
        <v>5</v>
      </c>
      <c r="B6" s="15" t="s">
        <v>380</v>
      </c>
      <c r="C6" s="15" t="s">
        <v>381</v>
      </c>
      <c r="D6" s="15" t="s">
        <v>382</v>
      </c>
      <c r="E6" s="15" t="s">
        <v>383</v>
      </c>
    </row>
    <row r="7" customFormat="false" ht="33.75" hidden="false" customHeight="true" outlineLevel="0" collapsed="false">
      <c r="A7" s="21" t="n">
        <v>6</v>
      </c>
      <c r="B7" s="22" t="s">
        <v>384</v>
      </c>
      <c r="C7" s="22" t="s">
        <v>385</v>
      </c>
      <c r="D7" s="22" t="s">
        <v>386</v>
      </c>
      <c r="E7" s="22" t="s">
        <v>387</v>
      </c>
    </row>
    <row r="8" customFormat="false" ht="33.75" hidden="false" customHeight="true" outlineLevel="0" collapsed="false">
      <c r="A8" s="14" t="n">
        <v>7</v>
      </c>
      <c r="B8" s="15" t="s">
        <v>388</v>
      </c>
      <c r="C8" s="15" t="s">
        <v>389</v>
      </c>
      <c r="D8" s="15" t="s">
        <v>390</v>
      </c>
      <c r="E8" s="15" t="s">
        <v>391</v>
      </c>
    </row>
    <row r="9" customFormat="false" ht="33.75" hidden="false" customHeight="true" outlineLevel="0" collapsed="false">
      <c r="A9" s="21" t="n">
        <v>8</v>
      </c>
      <c r="B9" s="22" t="s">
        <v>392</v>
      </c>
      <c r="C9" s="22" t="s">
        <v>393</v>
      </c>
      <c r="D9" s="22" t="s">
        <v>394</v>
      </c>
      <c r="E9" s="22" t="s">
        <v>395</v>
      </c>
    </row>
    <row r="10" customFormat="false" ht="33.75" hidden="false" customHeight="true" outlineLevel="0" collapsed="false">
      <c r="A10" s="14" t="n">
        <v>9</v>
      </c>
      <c r="B10" s="15" t="s">
        <v>396</v>
      </c>
      <c r="C10" s="15" t="s">
        <v>397</v>
      </c>
      <c r="D10" s="15" t="s">
        <v>398</v>
      </c>
      <c r="E10" s="15" t="s">
        <v>399</v>
      </c>
    </row>
    <row r="11" customFormat="false" ht="33.75" hidden="false" customHeight="true" outlineLevel="0" collapsed="false">
      <c r="A11" s="21" t="n">
        <v>10</v>
      </c>
      <c r="B11" s="22" t="s">
        <v>400</v>
      </c>
      <c r="C11" s="22" t="s">
        <v>401</v>
      </c>
      <c r="D11" s="22" t="s">
        <v>402</v>
      </c>
      <c r="E11" s="22" t="s">
        <v>403</v>
      </c>
    </row>
    <row r="12" customFormat="false" ht="33.75" hidden="false" customHeight="true" outlineLevel="0" collapsed="false">
      <c r="A12" s="14" t="n">
        <v>11</v>
      </c>
      <c r="B12" s="15" t="s">
        <v>404</v>
      </c>
      <c r="C12" s="15" t="s">
        <v>405</v>
      </c>
      <c r="D12" s="15" t="s">
        <v>406</v>
      </c>
      <c r="E12" s="15" t="s">
        <v>407</v>
      </c>
    </row>
    <row r="13" customFormat="false" ht="33.75" hidden="false" customHeight="true" outlineLevel="0" collapsed="false">
      <c r="A13" s="21" t="n">
        <v>12</v>
      </c>
      <c r="B13" s="22" t="s">
        <v>408</v>
      </c>
      <c r="C13" s="22" t="s">
        <v>409</v>
      </c>
      <c r="D13" s="22" t="s">
        <v>410</v>
      </c>
      <c r="E13" s="22" t="s">
        <v>411</v>
      </c>
    </row>
    <row r="14" customFormat="false" ht="33.75" hidden="false" customHeight="true" outlineLevel="0" collapsed="false">
      <c r="A14" s="14" t="n">
        <v>13</v>
      </c>
      <c r="B14" s="15" t="s">
        <v>412</v>
      </c>
      <c r="C14" s="15" t="s">
        <v>413</v>
      </c>
      <c r="D14" s="15" t="s">
        <v>414</v>
      </c>
      <c r="E14" s="15" t="s">
        <v>415</v>
      </c>
    </row>
    <row r="15" customFormat="false" ht="33.75" hidden="false" customHeight="true" outlineLevel="0" collapsed="false">
      <c r="A15" s="21" t="n">
        <v>14</v>
      </c>
      <c r="B15" s="22" t="s">
        <v>416</v>
      </c>
      <c r="C15" s="22" t="s">
        <v>417</v>
      </c>
      <c r="D15" s="22" t="s">
        <v>418</v>
      </c>
      <c r="E15" s="22" t="s">
        <v>419</v>
      </c>
    </row>
    <row r="16" customFormat="false" ht="33.75" hidden="false" customHeight="true" outlineLevel="0" collapsed="false">
      <c r="A16" s="14" t="n">
        <v>15</v>
      </c>
      <c r="B16" s="15" t="s">
        <v>420</v>
      </c>
      <c r="C16" s="15" t="s">
        <v>421</v>
      </c>
      <c r="D16" s="15" t="s">
        <v>422</v>
      </c>
      <c r="E16" s="15" t="s">
        <v>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6"/>
    <col collapsed="false" customWidth="true" hidden="false" outlineLevel="0" max="11" min="10" style="0" width="14"/>
    <col collapsed="false" customWidth="true" hidden="false" outlineLevel="0" max="12" min="12" style="0" width="26"/>
  </cols>
  <sheetData>
    <row r="1" customFormat="false" ht="30" hidden="false" customHeight="true" outlineLevel="0" collapsed="false">
      <c r="A1" s="6" t="s">
        <v>241</v>
      </c>
      <c r="B1" s="6" t="s">
        <v>424</v>
      </c>
      <c r="C1" s="6" t="s">
        <v>425</v>
      </c>
      <c r="D1" s="6" t="s">
        <v>426</v>
      </c>
      <c r="E1" s="6" t="s">
        <v>427</v>
      </c>
      <c r="F1" s="6" t="s">
        <v>428</v>
      </c>
      <c r="G1" s="6" t="s">
        <v>429</v>
      </c>
      <c r="H1" s="6" t="s">
        <v>42</v>
      </c>
      <c r="I1" s="6" t="s">
        <v>430</v>
      </c>
      <c r="J1" s="6" t="s">
        <v>431</v>
      </c>
      <c r="K1" s="6" t="s">
        <v>432</v>
      </c>
      <c r="L1" s="6" t="s">
        <v>43</v>
      </c>
    </row>
    <row r="2" customFormat="false" ht="19.5" hidden="false" customHeight="true" outlineLevel="0" collapsed="false">
      <c r="A2" s="23" t="s">
        <v>433</v>
      </c>
      <c r="B2" s="24" t="s">
        <v>434</v>
      </c>
      <c r="C2" s="23" t="s">
        <v>253</v>
      </c>
      <c r="D2" s="25" t="n">
        <v>12000</v>
      </c>
      <c r="E2" s="25" t="n">
        <v>4.5</v>
      </c>
      <c r="F2" s="26" t="s">
        <v>435</v>
      </c>
      <c r="G2" s="23" t="s">
        <v>162</v>
      </c>
      <c r="H2" s="26" t="s">
        <v>436</v>
      </c>
      <c r="I2" s="26" t="s">
        <v>437</v>
      </c>
      <c r="J2" s="23" t="s">
        <v>438</v>
      </c>
      <c r="K2" s="25" t="n">
        <v>0</v>
      </c>
      <c r="L2" s="26" t="s">
        <v>439</v>
      </c>
    </row>
    <row r="3" customFormat="false" ht="19.5" hidden="false" customHeight="true" outlineLevel="0" collapsed="false">
      <c r="A3" s="27"/>
      <c r="B3" s="28"/>
      <c r="C3" s="27"/>
      <c r="D3" s="29"/>
      <c r="E3" s="29"/>
      <c r="F3" s="30"/>
      <c r="G3" s="27"/>
      <c r="H3" s="30"/>
      <c r="I3" s="30"/>
      <c r="J3" s="27"/>
      <c r="K3" s="29"/>
      <c r="L3" s="30"/>
    </row>
    <row r="4" customFormat="false" ht="19.5" hidden="false" customHeight="true" outlineLevel="0" collapsed="false">
      <c r="A4" s="27"/>
      <c r="B4" s="28"/>
      <c r="C4" s="27"/>
      <c r="D4" s="29"/>
      <c r="E4" s="29"/>
      <c r="F4" s="30"/>
      <c r="G4" s="27"/>
      <c r="H4" s="30"/>
      <c r="I4" s="30"/>
      <c r="J4" s="27"/>
      <c r="K4" s="29"/>
      <c r="L4" s="30"/>
    </row>
    <row r="5" customFormat="false" ht="19.5" hidden="false" customHeight="true" outlineLevel="0" collapsed="false">
      <c r="A5" s="27"/>
      <c r="B5" s="28"/>
      <c r="C5" s="27"/>
      <c r="D5" s="29"/>
      <c r="E5" s="29"/>
      <c r="F5" s="30"/>
      <c r="G5" s="27"/>
      <c r="H5" s="30"/>
      <c r="I5" s="30"/>
      <c r="J5" s="27"/>
      <c r="K5" s="29"/>
      <c r="L5" s="30"/>
    </row>
    <row r="6" customFormat="false" ht="19.5" hidden="false" customHeight="true" outlineLevel="0" collapsed="false">
      <c r="A6" s="27"/>
      <c r="B6" s="28"/>
      <c r="C6" s="27"/>
      <c r="D6" s="29"/>
      <c r="E6" s="29"/>
      <c r="F6" s="30"/>
      <c r="G6" s="27"/>
      <c r="H6" s="30"/>
      <c r="I6" s="30"/>
      <c r="J6" s="27"/>
      <c r="K6" s="29"/>
      <c r="L6" s="30"/>
    </row>
    <row r="7" customFormat="false" ht="19.5" hidden="false" customHeight="true" outlineLevel="0" collapsed="false">
      <c r="A7" s="27"/>
      <c r="B7" s="28"/>
      <c r="C7" s="27"/>
      <c r="D7" s="29"/>
      <c r="E7" s="29"/>
      <c r="F7" s="30"/>
      <c r="G7" s="27"/>
      <c r="H7" s="30"/>
      <c r="I7" s="30"/>
      <c r="J7" s="27"/>
      <c r="K7" s="29"/>
      <c r="L7" s="30"/>
    </row>
    <row r="8" customFormat="false" ht="19.5" hidden="false" customHeight="true" outlineLevel="0" collapsed="false">
      <c r="A8" s="27"/>
      <c r="B8" s="28"/>
      <c r="C8" s="27"/>
      <c r="D8" s="29"/>
      <c r="E8" s="29"/>
      <c r="F8" s="30"/>
      <c r="G8" s="27"/>
      <c r="H8" s="30"/>
      <c r="I8" s="30"/>
      <c r="J8" s="27"/>
      <c r="K8" s="29"/>
      <c r="L8" s="30"/>
    </row>
    <row r="9" customFormat="false" ht="19.5" hidden="false" customHeight="true" outlineLevel="0" collapsed="false">
      <c r="A9" s="27"/>
      <c r="B9" s="28"/>
      <c r="C9" s="27"/>
      <c r="D9" s="29"/>
      <c r="E9" s="29"/>
      <c r="F9" s="30"/>
      <c r="G9" s="27"/>
      <c r="H9" s="30"/>
      <c r="I9" s="30"/>
      <c r="J9" s="27"/>
      <c r="K9" s="29"/>
      <c r="L9" s="30"/>
    </row>
    <row r="10" customFormat="false" ht="19.5" hidden="false" customHeight="true" outlineLevel="0" collapsed="false">
      <c r="A10" s="27"/>
      <c r="B10" s="28"/>
      <c r="C10" s="27"/>
      <c r="D10" s="29"/>
      <c r="E10" s="29"/>
      <c r="F10" s="30"/>
      <c r="G10" s="27"/>
      <c r="H10" s="30"/>
      <c r="I10" s="30"/>
      <c r="J10" s="27"/>
      <c r="K10" s="29"/>
      <c r="L10" s="30"/>
    </row>
    <row r="11" customFormat="false" ht="19.5" hidden="false" customHeight="true" outlineLevel="0" collapsed="false">
      <c r="A11" s="27"/>
      <c r="B11" s="28"/>
      <c r="C11" s="27"/>
      <c r="D11" s="29"/>
      <c r="E11" s="29"/>
      <c r="F11" s="30"/>
      <c r="G11" s="27"/>
      <c r="H11" s="30"/>
      <c r="I11" s="30"/>
      <c r="J11" s="27"/>
      <c r="K11" s="29"/>
      <c r="L11" s="30"/>
    </row>
    <row r="12" customFormat="false" ht="19.5" hidden="false" customHeight="true" outlineLevel="0" collapsed="false">
      <c r="A12" s="27"/>
      <c r="B12" s="28"/>
      <c r="C12" s="27"/>
      <c r="D12" s="29"/>
      <c r="E12" s="29"/>
      <c r="F12" s="30"/>
      <c r="G12" s="27"/>
      <c r="H12" s="30"/>
      <c r="I12" s="30"/>
      <c r="J12" s="27"/>
      <c r="K12" s="29"/>
      <c r="L12" s="30"/>
    </row>
    <row r="13" customFormat="false" ht="19.5" hidden="false" customHeight="true" outlineLevel="0" collapsed="false">
      <c r="A13" s="27"/>
      <c r="B13" s="28"/>
      <c r="C13" s="27"/>
      <c r="D13" s="29"/>
      <c r="E13" s="29"/>
      <c r="F13" s="30"/>
      <c r="G13" s="27"/>
      <c r="H13" s="30"/>
      <c r="I13" s="30"/>
      <c r="J13" s="27"/>
      <c r="K13" s="29"/>
      <c r="L13" s="30"/>
    </row>
    <row r="14" customFormat="false" ht="19.5" hidden="false" customHeight="true" outlineLevel="0" collapsed="false">
      <c r="A14" s="27"/>
      <c r="B14" s="28"/>
      <c r="C14" s="27"/>
      <c r="D14" s="29"/>
      <c r="E14" s="29"/>
      <c r="F14" s="30"/>
      <c r="G14" s="27"/>
      <c r="H14" s="30"/>
      <c r="I14" s="30"/>
      <c r="J14" s="27"/>
      <c r="K14" s="29"/>
      <c r="L14" s="30"/>
    </row>
    <row r="15" customFormat="false" ht="19.5" hidden="false" customHeight="true" outlineLevel="0" collapsed="false">
      <c r="A15" s="27"/>
      <c r="B15" s="28"/>
      <c r="C15" s="27"/>
      <c r="D15" s="29"/>
      <c r="E15" s="29"/>
      <c r="F15" s="30"/>
      <c r="G15" s="27"/>
      <c r="H15" s="30"/>
      <c r="I15" s="30"/>
      <c r="J15" s="27"/>
      <c r="K15" s="29"/>
      <c r="L15" s="30"/>
    </row>
    <row r="16" customFormat="false" ht="19.5" hidden="false" customHeight="true" outlineLevel="0" collapsed="false">
      <c r="A16" s="27"/>
      <c r="B16" s="28"/>
      <c r="C16" s="27"/>
      <c r="D16" s="29"/>
      <c r="E16" s="29"/>
      <c r="F16" s="30"/>
      <c r="G16" s="27"/>
      <c r="H16" s="30"/>
      <c r="I16" s="30"/>
      <c r="J16" s="27"/>
      <c r="K16" s="29"/>
      <c r="L16" s="30"/>
    </row>
    <row r="17" customFormat="false" ht="19.5" hidden="false" customHeight="true" outlineLevel="0" collapsed="false">
      <c r="A17" s="27"/>
      <c r="B17" s="28"/>
      <c r="C17" s="27"/>
      <c r="D17" s="29"/>
      <c r="E17" s="29"/>
      <c r="F17" s="30"/>
      <c r="G17" s="27"/>
      <c r="H17" s="30"/>
      <c r="I17" s="30"/>
      <c r="J17" s="27"/>
      <c r="K17" s="29"/>
      <c r="L17" s="30"/>
    </row>
    <row r="18" customFormat="false" ht="19.5" hidden="false" customHeight="true" outlineLevel="0" collapsed="false">
      <c r="A18" s="27"/>
      <c r="B18" s="28"/>
      <c r="C18" s="27"/>
      <c r="D18" s="29"/>
      <c r="E18" s="29"/>
      <c r="F18" s="30"/>
      <c r="G18" s="27"/>
      <c r="H18" s="30"/>
      <c r="I18" s="30"/>
      <c r="J18" s="27"/>
      <c r="K18" s="29"/>
      <c r="L18" s="30"/>
    </row>
    <row r="19" customFormat="false" ht="19.5" hidden="false" customHeight="true" outlineLevel="0" collapsed="false">
      <c r="A19" s="27"/>
      <c r="B19" s="28"/>
      <c r="C19" s="27"/>
      <c r="D19" s="29"/>
      <c r="E19" s="29"/>
      <c r="F19" s="30"/>
      <c r="G19" s="27"/>
      <c r="H19" s="30"/>
      <c r="I19" s="30"/>
      <c r="J19" s="27"/>
      <c r="K19" s="29"/>
      <c r="L19" s="30"/>
    </row>
    <row r="20" customFormat="false" ht="19.5" hidden="false" customHeight="true" outlineLevel="0" collapsed="false">
      <c r="A20" s="27"/>
      <c r="B20" s="28"/>
      <c r="C20" s="27"/>
      <c r="D20" s="29"/>
      <c r="E20" s="29"/>
      <c r="F20" s="30"/>
      <c r="G20" s="27"/>
      <c r="H20" s="30"/>
      <c r="I20" s="30"/>
      <c r="J20" s="27"/>
      <c r="K20" s="29"/>
      <c r="L20" s="30"/>
    </row>
    <row r="21" customFormat="false" ht="19.5" hidden="false" customHeight="true" outlineLevel="0" collapsed="false">
      <c r="A21" s="27"/>
      <c r="B21" s="28"/>
      <c r="C21" s="27"/>
      <c r="D21" s="29"/>
      <c r="E21" s="29"/>
      <c r="F21" s="30"/>
      <c r="G21" s="27"/>
      <c r="H21" s="30"/>
      <c r="I21" s="30"/>
      <c r="J21" s="27"/>
      <c r="K21" s="29"/>
      <c r="L21" s="30"/>
    </row>
    <row r="22" customFormat="false" ht="19.5" hidden="false" customHeight="true" outlineLevel="0" collapsed="false">
      <c r="A22" s="27"/>
      <c r="B22" s="28"/>
      <c r="C22" s="27"/>
      <c r="D22" s="29"/>
      <c r="E22" s="29"/>
      <c r="F22" s="30"/>
      <c r="G22" s="27"/>
      <c r="H22" s="30"/>
      <c r="I22" s="30"/>
      <c r="J22" s="27"/>
      <c r="K22" s="29"/>
      <c r="L22" s="30"/>
    </row>
    <row r="23" customFormat="false" ht="19.5" hidden="false" customHeight="true" outlineLevel="0" collapsed="false">
      <c r="A23" s="27"/>
      <c r="B23" s="28"/>
      <c r="C23" s="27"/>
      <c r="D23" s="29"/>
      <c r="E23" s="29"/>
      <c r="F23" s="30"/>
      <c r="G23" s="27"/>
      <c r="H23" s="30"/>
      <c r="I23" s="30"/>
      <c r="J23" s="27"/>
      <c r="K23" s="29"/>
      <c r="L23" s="30"/>
    </row>
    <row r="24" customFormat="false" ht="19.5" hidden="false" customHeight="true" outlineLevel="0" collapsed="false">
      <c r="A24" s="27"/>
      <c r="B24" s="28"/>
      <c r="C24" s="27"/>
      <c r="D24" s="29"/>
      <c r="E24" s="29"/>
      <c r="F24" s="30"/>
      <c r="G24" s="27"/>
      <c r="H24" s="30"/>
      <c r="I24" s="30"/>
      <c r="J24" s="27"/>
      <c r="K24" s="29"/>
      <c r="L24" s="30"/>
    </row>
    <row r="25" customFormat="false" ht="19.5" hidden="false" customHeight="true" outlineLevel="0" collapsed="false">
      <c r="A25" s="27"/>
      <c r="B25" s="28"/>
      <c r="C25" s="27"/>
      <c r="D25" s="29"/>
      <c r="E25" s="29"/>
      <c r="F25" s="30"/>
      <c r="G25" s="27"/>
      <c r="H25" s="30"/>
      <c r="I25" s="30"/>
      <c r="J25" s="27"/>
      <c r="K25" s="29"/>
      <c r="L25" s="30"/>
    </row>
    <row r="26" customFormat="false" ht="19.5" hidden="false" customHeight="true" outlineLevel="0" collapsed="false">
      <c r="A26" s="27"/>
      <c r="B26" s="28"/>
      <c r="C26" s="27"/>
      <c r="D26" s="29"/>
      <c r="E26" s="29"/>
      <c r="F26" s="30"/>
      <c r="G26" s="27"/>
      <c r="H26" s="30"/>
      <c r="I26" s="30"/>
      <c r="J26" s="27"/>
      <c r="K26" s="29"/>
      <c r="L26" s="30"/>
    </row>
    <row r="27" customFormat="false" ht="19.5" hidden="false" customHeight="true" outlineLevel="0" collapsed="false">
      <c r="A27" s="27"/>
      <c r="B27" s="28"/>
      <c r="C27" s="27"/>
      <c r="D27" s="29"/>
      <c r="E27" s="29"/>
      <c r="F27" s="30"/>
      <c r="G27" s="27"/>
      <c r="H27" s="30"/>
      <c r="I27" s="30"/>
      <c r="J27" s="27"/>
      <c r="K27" s="29"/>
      <c r="L27" s="30"/>
    </row>
    <row r="28" customFormat="false" ht="19.5" hidden="false" customHeight="true" outlineLevel="0" collapsed="false">
      <c r="A28" s="27"/>
      <c r="B28" s="28"/>
      <c r="C28" s="27"/>
      <c r="D28" s="29"/>
      <c r="E28" s="29"/>
      <c r="F28" s="30"/>
      <c r="G28" s="27"/>
      <c r="H28" s="30"/>
      <c r="I28" s="30"/>
      <c r="J28" s="27"/>
      <c r="K28" s="29"/>
      <c r="L28" s="30"/>
    </row>
    <row r="29" customFormat="false" ht="19.5" hidden="false" customHeight="true" outlineLevel="0" collapsed="false">
      <c r="A29" s="27"/>
      <c r="B29" s="28"/>
      <c r="C29" s="27"/>
      <c r="D29" s="29"/>
      <c r="E29" s="29"/>
      <c r="F29" s="30"/>
      <c r="G29" s="27"/>
      <c r="H29" s="30"/>
      <c r="I29" s="30"/>
      <c r="J29" s="27"/>
      <c r="K29" s="29"/>
      <c r="L29" s="30"/>
    </row>
    <row r="30" customFormat="false" ht="19.5" hidden="false" customHeight="true" outlineLevel="0" collapsed="false">
      <c r="A30" s="27"/>
      <c r="B30" s="28"/>
      <c r="C30" s="27"/>
      <c r="D30" s="29"/>
      <c r="E30" s="29"/>
      <c r="F30" s="30"/>
      <c r="G30" s="27"/>
      <c r="H30" s="30"/>
      <c r="I30" s="30"/>
      <c r="J30" s="27"/>
      <c r="K30" s="29"/>
      <c r="L30" s="30"/>
    </row>
    <row r="31" customFormat="false" ht="19.5" hidden="false" customHeight="true" outlineLevel="0" collapsed="false">
      <c r="A31" s="27"/>
      <c r="B31" s="28"/>
      <c r="C31" s="27"/>
      <c r="D31" s="29"/>
      <c r="E31" s="29"/>
      <c r="F31" s="30"/>
      <c r="G31" s="27"/>
      <c r="H31" s="30"/>
      <c r="I31" s="30"/>
      <c r="J31" s="27"/>
      <c r="K31" s="29"/>
      <c r="L31" s="30"/>
    </row>
    <row r="33" customFormat="false" ht="15" hidden="false" customHeight="false" outlineLevel="0" collapsed="false">
      <c r="B33" s="31" t="s">
        <v>440</v>
      </c>
    </row>
    <row r="34" customFormat="false" ht="15" hidden="false" customHeight="false" outlineLevel="0" collapsed="false">
      <c r="B34" s="31" t="s">
        <v>441</v>
      </c>
    </row>
    <row r="35" customFormat="false" ht="15" hidden="false" customHeight="false" outlineLevel="0" collapsed="false">
      <c r="B35" s="31" t="s">
        <v>442</v>
      </c>
    </row>
  </sheetData>
  <dataValidations count="1">
    <dataValidation allowBlank="true" errorStyle="stop" operator="between" showDropDown="false" showErrorMessage="false" showInputMessage="false" sqref="H2:H31" type="list">
      <formula1>"لم يُتواصل,أُرسلت رسالة,رد إيجابي,رُفض,أُرسل المنتج,نشرت ✅,شراكة دائمة"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9" min="4" style="0" width="16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4" min="12" style="0" width="14"/>
  </cols>
  <sheetData>
    <row r="1" customFormat="false" ht="30" hidden="false" customHeight="true" outlineLevel="0" collapsed="false">
      <c r="A1" s="6" t="s">
        <v>443</v>
      </c>
      <c r="B1" s="6" t="s">
        <v>444</v>
      </c>
      <c r="C1" s="6" t="s">
        <v>445</v>
      </c>
      <c r="D1" s="6" t="s">
        <v>446</v>
      </c>
      <c r="E1" s="6" t="s">
        <v>447</v>
      </c>
      <c r="F1" s="6" t="s">
        <v>448</v>
      </c>
      <c r="G1" s="6" t="s">
        <v>449</v>
      </c>
      <c r="H1" s="6" t="s">
        <v>450</v>
      </c>
      <c r="I1" s="6" t="s">
        <v>451</v>
      </c>
      <c r="J1" s="6" t="s">
        <v>452</v>
      </c>
      <c r="K1" s="6" t="s">
        <v>453</v>
      </c>
      <c r="L1" s="6" t="s">
        <v>454</v>
      </c>
      <c r="M1" s="6" t="s">
        <v>455</v>
      </c>
      <c r="N1" s="6" t="s">
        <v>456</v>
      </c>
    </row>
    <row r="2" customFormat="false" ht="19.5" hidden="false" customHeight="true" outlineLevel="0" collapsed="false">
      <c r="A2" s="27" t="n">
        <v>1</v>
      </c>
      <c r="B2" s="27" t="s">
        <v>44</v>
      </c>
      <c r="C2" s="29"/>
      <c r="D2" s="29"/>
      <c r="E2" s="29"/>
      <c r="F2" s="29"/>
      <c r="G2" s="29"/>
      <c r="H2" s="29"/>
      <c r="I2" s="29"/>
      <c r="J2" s="29"/>
      <c r="K2" s="32"/>
      <c r="L2" s="29"/>
      <c r="M2" s="33" t="str">
        <f aca="false">IFERROR(L2/K2,"")</f>
        <v/>
      </c>
      <c r="N2" s="34" t="str">
        <f aca="false">IFERROR(K2/J2,"")</f>
        <v/>
      </c>
    </row>
    <row r="3" customFormat="false" ht="19.5" hidden="false" customHeight="true" outlineLevel="0" collapsed="false">
      <c r="A3" s="27" t="n">
        <v>2</v>
      </c>
      <c r="B3" s="27" t="s">
        <v>68</v>
      </c>
      <c r="C3" s="29"/>
      <c r="D3" s="29"/>
      <c r="E3" s="29"/>
      <c r="F3" s="29"/>
      <c r="G3" s="29"/>
      <c r="H3" s="29"/>
      <c r="I3" s="29"/>
      <c r="J3" s="29"/>
      <c r="K3" s="32"/>
      <c r="L3" s="29"/>
      <c r="M3" s="33" t="str">
        <f aca="false">IFERROR(L3/K3,"")</f>
        <v/>
      </c>
      <c r="N3" s="34" t="str">
        <f aca="false">IFERROR(K3/J3,"")</f>
        <v/>
      </c>
    </row>
    <row r="4" customFormat="false" ht="19.5" hidden="false" customHeight="true" outlineLevel="0" collapsed="false">
      <c r="A4" s="27" t="n">
        <v>3</v>
      </c>
      <c r="B4" s="27" t="s">
        <v>104</v>
      </c>
      <c r="C4" s="29"/>
      <c r="D4" s="29"/>
      <c r="E4" s="29"/>
      <c r="F4" s="29"/>
      <c r="G4" s="29"/>
      <c r="H4" s="29"/>
      <c r="I4" s="29"/>
      <c r="J4" s="29"/>
      <c r="K4" s="32"/>
      <c r="L4" s="29"/>
      <c r="M4" s="33" t="str">
        <f aca="false">IFERROR(L4/K4,"")</f>
        <v/>
      </c>
      <c r="N4" s="34" t="str">
        <f aca="false">IFERROR(K4/J4,"")</f>
        <v/>
      </c>
    </row>
    <row r="5" customFormat="false" ht="19.5" hidden="false" customHeight="true" outlineLevel="0" collapsed="false">
      <c r="A5" s="27" t="n">
        <v>4</v>
      </c>
      <c r="B5" s="27" t="s">
        <v>129</v>
      </c>
      <c r="C5" s="29"/>
      <c r="D5" s="29"/>
      <c r="E5" s="29"/>
      <c r="F5" s="29"/>
      <c r="G5" s="29"/>
      <c r="H5" s="29"/>
      <c r="I5" s="29"/>
      <c r="J5" s="29"/>
      <c r="K5" s="32"/>
      <c r="L5" s="29"/>
      <c r="M5" s="33" t="str">
        <f aca="false">IFERROR(L5/K5,"")</f>
        <v/>
      </c>
      <c r="N5" s="34" t="str">
        <f aca="false">IFERROR(K5/J5,"")</f>
        <v/>
      </c>
    </row>
    <row r="6" customFormat="false" ht="19.5" hidden="false" customHeight="true" outlineLevel="0" collapsed="false">
      <c r="A6" s="27" t="n">
        <v>5</v>
      </c>
      <c r="B6" s="27" t="s">
        <v>144</v>
      </c>
      <c r="C6" s="29"/>
      <c r="D6" s="29"/>
      <c r="E6" s="29"/>
      <c r="F6" s="29"/>
      <c r="G6" s="29"/>
      <c r="H6" s="29"/>
      <c r="I6" s="29"/>
      <c r="J6" s="29"/>
      <c r="K6" s="32"/>
      <c r="L6" s="29"/>
      <c r="M6" s="33" t="str">
        <f aca="false">IFERROR(L6/K6,"")</f>
        <v/>
      </c>
      <c r="N6" s="34" t="str">
        <f aca="false">IFERROR(K6/J6,"")</f>
        <v/>
      </c>
    </row>
    <row r="7" customFormat="false" ht="19.5" hidden="false" customHeight="true" outlineLevel="0" collapsed="false">
      <c r="A7" s="27" t="n">
        <v>6</v>
      </c>
      <c r="B7" s="27" t="s">
        <v>159</v>
      </c>
      <c r="C7" s="29"/>
      <c r="D7" s="29"/>
      <c r="E7" s="29"/>
      <c r="F7" s="29"/>
      <c r="G7" s="29"/>
      <c r="H7" s="29"/>
      <c r="I7" s="29"/>
      <c r="J7" s="29"/>
      <c r="K7" s="32"/>
      <c r="L7" s="29"/>
      <c r="M7" s="33" t="str">
        <f aca="false">IFERROR(L7/K7,"")</f>
        <v/>
      </c>
      <c r="N7" s="34" t="str">
        <f aca="false">IFERROR(K7/J7,"")</f>
        <v/>
      </c>
    </row>
    <row r="8" customFormat="false" ht="19.5" hidden="false" customHeight="true" outlineLevel="0" collapsed="false">
      <c r="A8" s="27" t="n">
        <v>7</v>
      </c>
      <c r="B8" s="27" t="s">
        <v>177</v>
      </c>
      <c r="C8" s="29"/>
      <c r="D8" s="29"/>
      <c r="E8" s="29"/>
      <c r="F8" s="29"/>
      <c r="G8" s="29"/>
      <c r="H8" s="29"/>
      <c r="I8" s="29"/>
      <c r="J8" s="29"/>
      <c r="K8" s="32"/>
      <c r="L8" s="29"/>
      <c r="M8" s="33" t="str">
        <f aca="false">IFERROR(L8/K8,"")</f>
        <v/>
      </c>
      <c r="N8" s="34" t="str">
        <f aca="false">IFERROR(K8/J8,"")</f>
        <v/>
      </c>
    </row>
    <row r="9" customFormat="false" ht="19.5" hidden="false" customHeight="true" outlineLevel="0" collapsed="false">
      <c r="A9" s="27" t="n">
        <v>8</v>
      </c>
      <c r="B9" s="27" t="s">
        <v>187</v>
      </c>
      <c r="C9" s="29"/>
      <c r="D9" s="29"/>
      <c r="E9" s="29"/>
      <c r="F9" s="29"/>
      <c r="G9" s="29"/>
      <c r="H9" s="29"/>
      <c r="I9" s="29"/>
      <c r="J9" s="29"/>
      <c r="K9" s="32"/>
      <c r="L9" s="29"/>
      <c r="M9" s="33" t="str">
        <f aca="false">IFERROR(L9/K9,"")</f>
        <v/>
      </c>
      <c r="N9" s="34" t="str">
        <f aca="false">IFERROR(K9/J9,"")</f>
        <v/>
      </c>
    </row>
    <row r="10" customFormat="false" ht="19.5" hidden="false" customHeight="true" outlineLevel="0" collapsed="false">
      <c r="A10" s="27" t="n">
        <v>9</v>
      </c>
      <c r="B10" s="27" t="s">
        <v>196</v>
      </c>
      <c r="C10" s="29"/>
      <c r="D10" s="29"/>
      <c r="E10" s="29"/>
      <c r="F10" s="29"/>
      <c r="G10" s="29"/>
      <c r="H10" s="29"/>
      <c r="I10" s="29"/>
      <c r="J10" s="29"/>
      <c r="K10" s="32"/>
      <c r="L10" s="29"/>
      <c r="M10" s="33" t="str">
        <f aca="false">IFERROR(L10/K10,"")</f>
        <v/>
      </c>
      <c r="N10" s="34" t="str">
        <f aca="false">IFERROR(K10/J10,"")</f>
        <v/>
      </c>
    </row>
    <row r="11" customFormat="false" ht="19.5" hidden="false" customHeight="true" outlineLevel="0" collapsed="false">
      <c r="A11" s="27" t="n">
        <v>10</v>
      </c>
      <c r="B11" s="27" t="s">
        <v>206</v>
      </c>
      <c r="C11" s="29"/>
      <c r="D11" s="29"/>
      <c r="E11" s="29"/>
      <c r="F11" s="29"/>
      <c r="G11" s="29"/>
      <c r="H11" s="29"/>
      <c r="I11" s="29"/>
      <c r="J11" s="29"/>
      <c r="K11" s="32"/>
      <c r="L11" s="29"/>
      <c r="M11" s="33" t="str">
        <f aca="false">IFERROR(L11/K11,"")</f>
        <v/>
      </c>
      <c r="N11" s="34" t="str">
        <f aca="false">IFERROR(K11/J11,"")</f>
        <v/>
      </c>
    </row>
    <row r="12" customFormat="false" ht="19.5" hidden="false" customHeight="true" outlineLevel="0" collapsed="false">
      <c r="A12" s="27" t="n">
        <v>11</v>
      </c>
      <c r="B12" s="27" t="s">
        <v>216</v>
      </c>
      <c r="C12" s="29"/>
      <c r="D12" s="29"/>
      <c r="E12" s="29"/>
      <c r="F12" s="29"/>
      <c r="G12" s="29"/>
      <c r="H12" s="29"/>
      <c r="I12" s="29"/>
      <c r="J12" s="29"/>
      <c r="K12" s="32"/>
      <c r="L12" s="29"/>
      <c r="M12" s="33" t="str">
        <f aca="false">IFERROR(L12/K12,"")</f>
        <v/>
      </c>
      <c r="N12" s="34" t="str">
        <f aca="false">IFERROR(K12/J12,"")</f>
        <v/>
      </c>
    </row>
    <row r="13" customFormat="false" ht="19.5" hidden="false" customHeight="true" outlineLevel="0" collapsed="false">
      <c r="A13" s="27" t="n">
        <v>12</v>
      </c>
      <c r="B13" s="27" t="s">
        <v>224</v>
      </c>
      <c r="C13" s="29"/>
      <c r="D13" s="29"/>
      <c r="E13" s="29"/>
      <c r="F13" s="29"/>
      <c r="G13" s="29"/>
      <c r="H13" s="29"/>
      <c r="I13" s="29"/>
      <c r="J13" s="29"/>
      <c r="K13" s="32"/>
      <c r="L13" s="29"/>
      <c r="M13" s="33" t="str">
        <f aca="false">IFERROR(L13/K13,"")</f>
        <v/>
      </c>
      <c r="N13" s="34" t="str">
        <f aca="false">IFERROR(K13/J13,"")</f>
        <v/>
      </c>
    </row>
    <row r="14" customFormat="false" ht="19.5" hidden="false" customHeight="true" outlineLevel="0" collapsed="false">
      <c r="A14" s="27" t="n">
        <v>13</v>
      </c>
      <c r="B14" s="27" t="s">
        <v>233</v>
      </c>
      <c r="C14" s="29"/>
      <c r="D14" s="29"/>
      <c r="E14" s="29"/>
      <c r="F14" s="29"/>
      <c r="G14" s="29"/>
      <c r="H14" s="29"/>
      <c r="I14" s="29"/>
      <c r="J14" s="29"/>
      <c r="K14" s="32"/>
      <c r="L14" s="29"/>
      <c r="M14" s="33" t="str">
        <f aca="false">IFERROR(L14/K14,"")</f>
        <v/>
      </c>
      <c r="N14" s="34" t="str">
        <f aca="false">IFERROR(K14/J14,"")</f>
        <v/>
      </c>
    </row>
    <row r="15" customFormat="false" ht="15" hidden="false" customHeight="false" outlineLevel="0" collapsed="false">
      <c r="A15" s="35" t="s">
        <v>457</v>
      </c>
      <c r="C15" s="35" t="n">
        <f aca="false">SUM(C2:C14)</f>
        <v>0</v>
      </c>
      <c r="D15" s="35" t="n">
        <f aca="false">SUM(D2:D14)</f>
        <v>0</v>
      </c>
      <c r="E15" s="35" t="n">
        <f aca="false">SUM(E2:E14)</f>
        <v>0</v>
      </c>
      <c r="F15" s="35" t="n">
        <f aca="false">SUM(F2:F14)</f>
        <v>0</v>
      </c>
      <c r="G15" s="35" t="n">
        <f aca="false">SUM(G2:G14)</f>
        <v>0</v>
      </c>
      <c r="H15" s="35" t="n">
        <f aca="false">SUM(H2:H14)</f>
        <v>0</v>
      </c>
      <c r="I15" s="35" t="n">
        <f aca="false">SUM(I2:I14)</f>
        <v>0</v>
      </c>
      <c r="J15" s="35" t="n">
        <f aca="false">SUM(J2:J14)</f>
        <v>0</v>
      </c>
      <c r="K15" s="35" t="n">
        <f aca="false">SUM(K2:K14)</f>
        <v>0</v>
      </c>
      <c r="L15" s="35" t="n">
        <f aca="false">SUM(L2:L14)</f>
        <v>0</v>
      </c>
      <c r="M15" s="36" t="str">
        <f aca="false">IFERROR(L15/K15,"")</f>
        <v/>
      </c>
    </row>
    <row r="17" customFormat="false" ht="15" hidden="false" customHeight="false" outlineLevel="0" collapsed="false">
      <c r="B17" s="31" t="s">
        <v>458</v>
      </c>
    </row>
    <row r="18" customFormat="false" ht="15" hidden="false" customHeight="false" outlineLevel="0" collapsed="false">
      <c r="B18" s="37" t="s">
        <v>459</v>
      </c>
    </row>
    <row r="19" customFormat="false" ht="15" hidden="false" customHeight="false" outlineLevel="0" collapsed="false">
      <c r="B19" s="38" t="s">
        <v>460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6"/>
    <col collapsed="false" customWidth="true" hidden="false" outlineLevel="0" max="8" min="8" style="0" width="44"/>
  </cols>
  <sheetData>
    <row r="1" customFormat="false" ht="30" hidden="false" customHeight="true" outlineLevel="0" collapsed="false">
      <c r="A1" s="6" t="s">
        <v>461</v>
      </c>
      <c r="B1" s="6" t="s">
        <v>462</v>
      </c>
      <c r="C1" s="6" t="s">
        <v>463</v>
      </c>
      <c r="D1" s="6" t="s">
        <v>464</v>
      </c>
      <c r="E1" s="6" t="s">
        <v>465</v>
      </c>
      <c r="F1" s="6" t="s">
        <v>466</v>
      </c>
      <c r="G1" s="6" t="s">
        <v>467</v>
      </c>
      <c r="H1" s="6" t="s">
        <v>468</v>
      </c>
    </row>
    <row r="2" customFormat="false" ht="21.75" hidden="false" customHeight="true" outlineLevel="0" collapsed="false">
      <c r="A2" s="30" t="s">
        <v>469</v>
      </c>
      <c r="B2" s="39" t="n">
        <v>12000</v>
      </c>
      <c r="C2" s="40"/>
      <c r="D2" s="39" t="n">
        <v>13000</v>
      </c>
      <c r="E2" s="40"/>
      <c r="F2" s="39" t="n">
        <v>12000</v>
      </c>
      <c r="G2" s="40"/>
      <c r="H2" s="30" t="s">
        <v>470</v>
      </c>
    </row>
    <row r="3" customFormat="false" ht="21.75" hidden="false" customHeight="true" outlineLevel="0" collapsed="false">
      <c r="A3" s="30" t="s">
        <v>471</v>
      </c>
      <c r="B3" s="39" t="n">
        <v>4000</v>
      </c>
      <c r="C3" s="40"/>
      <c r="D3" s="39" t="n">
        <v>5000</v>
      </c>
      <c r="E3" s="40"/>
      <c r="F3" s="39" t="n">
        <v>5000</v>
      </c>
      <c r="G3" s="40"/>
      <c r="H3" s="30" t="s">
        <v>472</v>
      </c>
    </row>
    <row r="4" customFormat="false" ht="21.75" hidden="false" customHeight="true" outlineLevel="0" collapsed="false">
      <c r="A4" s="30" t="s">
        <v>473</v>
      </c>
      <c r="B4" s="39" t="n">
        <v>0</v>
      </c>
      <c r="C4" s="40"/>
      <c r="D4" s="39" t="n">
        <v>0</v>
      </c>
      <c r="E4" s="40"/>
      <c r="F4" s="39" t="n">
        <v>1000</v>
      </c>
      <c r="G4" s="40"/>
      <c r="H4" s="30" t="s">
        <v>474</v>
      </c>
    </row>
    <row r="5" customFormat="false" ht="21.75" hidden="false" customHeight="true" outlineLevel="0" collapsed="false">
      <c r="A5" s="30" t="s">
        <v>475</v>
      </c>
      <c r="B5" s="39" t="n">
        <v>2000</v>
      </c>
      <c r="C5" s="40"/>
      <c r="D5" s="39" t="n">
        <v>1000</v>
      </c>
      <c r="E5" s="40"/>
      <c r="F5" s="39" t="n">
        <v>1000</v>
      </c>
      <c r="G5" s="40"/>
      <c r="H5" s="30" t="s">
        <v>476</v>
      </c>
    </row>
    <row r="6" customFormat="false" ht="21.75" hidden="false" customHeight="true" outlineLevel="0" collapsed="false">
      <c r="A6" s="30" t="s">
        <v>477</v>
      </c>
      <c r="B6" s="39" t="n">
        <v>2000</v>
      </c>
      <c r="C6" s="40"/>
      <c r="D6" s="39" t="n">
        <v>1000</v>
      </c>
      <c r="E6" s="40"/>
      <c r="F6" s="39" t="n">
        <v>1000</v>
      </c>
      <c r="G6" s="40"/>
      <c r="H6" s="30" t="s">
        <v>478</v>
      </c>
    </row>
    <row r="7" customFormat="false" ht="15" hidden="false" customHeight="false" outlineLevel="0" collapsed="false">
      <c r="A7" s="12" t="s">
        <v>457</v>
      </c>
      <c r="B7" s="41" t="n">
        <f aca="false">SUM(B2:B6)</f>
        <v>20000</v>
      </c>
      <c r="C7" s="41" t="n">
        <f aca="false">SUM(C2:C6)</f>
        <v>0</v>
      </c>
      <c r="D7" s="41" t="n">
        <f aca="false">SUM(D2:D6)</f>
        <v>20000</v>
      </c>
      <c r="E7" s="41" t="n">
        <f aca="false">SUM(E2:E6)</f>
        <v>0</v>
      </c>
      <c r="F7" s="41" t="n">
        <f aca="false">SUM(F2:F6)</f>
        <v>20000</v>
      </c>
      <c r="G7" s="41" t="n">
        <f aca="false">SUM(G2:G6)</f>
        <v>0</v>
      </c>
    </row>
    <row r="9" customFormat="false" ht="15" hidden="false" customHeight="false" outlineLevel="0" collapsed="false">
      <c r="A9" s="42"/>
      <c r="B9" s="42"/>
      <c r="C9" s="42"/>
      <c r="D9" s="42"/>
      <c r="E9" s="42"/>
      <c r="F9" s="42"/>
      <c r="G9" s="42"/>
      <c r="H9" s="42"/>
    </row>
    <row r="10" customFormat="false" ht="15" hidden="false" customHeight="true" outlineLevel="0" collapsed="false">
      <c r="A10" s="43" t="s">
        <v>479</v>
      </c>
      <c r="B10" s="43"/>
      <c r="C10" s="43"/>
      <c r="D10" s="43"/>
      <c r="E10" s="43"/>
      <c r="F10" s="43"/>
      <c r="G10" s="43"/>
      <c r="H10" s="43"/>
    </row>
    <row r="11" customFormat="false" ht="15" hidden="false" customHeight="true" outlineLevel="0" collapsed="false">
      <c r="A11" s="42" t="s">
        <v>480</v>
      </c>
      <c r="B11" s="42"/>
      <c r="C11" s="42"/>
      <c r="D11" s="42"/>
      <c r="E11" s="42"/>
      <c r="F11" s="42"/>
      <c r="G11" s="42"/>
      <c r="H11" s="42"/>
    </row>
    <row r="12" customFormat="false" ht="15" hidden="false" customHeight="true" outlineLevel="0" collapsed="false">
      <c r="A12" s="42" t="s">
        <v>481</v>
      </c>
      <c r="B12" s="42"/>
      <c r="C12" s="42"/>
      <c r="D12" s="42"/>
      <c r="E12" s="42"/>
      <c r="F12" s="42"/>
      <c r="G12" s="42"/>
      <c r="H12" s="42"/>
    </row>
    <row r="13" customFormat="false" ht="15" hidden="false" customHeight="true" outlineLevel="0" collapsed="false">
      <c r="A13" s="42" t="s">
        <v>482</v>
      </c>
      <c r="B13" s="42"/>
      <c r="C13" s="42"/>
      <c r="D13" s="42"/>
      <c r="E13" s="42"/>
      <c r="F13" s="42"/>
      <c r="G13" s="42"/>
      <c r="H13" s="42"/>
    </row>
    <row r="14" customFormat="false" ht="15" hidden="false" customHeight="true" outlineLevel="0" collapsed="false">
      <c r="A14" s="42" t="s">
        <v>483</v>
      </c>
      <c r="B14" s="42"/>
      <c r="C14" s="42"/>
      <c r="D14" s="42"/>
      <c r="E14" s="42"/>
      <c r="F14" s="42"/>
      <c r="G14" s="42"/>
      <c r="H14" s="42"/>
    </row>
    <row r="15" customFormat="false" ht="15" hidden="false" customHeight="false" outlineLevel="0" collapsed="false">
      <c r="A15" s="42"/>
      <c r="B15" s="42"/>
      <c r="C15" s="42"/>
      <c r="D15" s="42"/>
      <c r="E15" s="42"/>
      <c r="F15" s="42"/>
      <c r="G15" s="42"/>
      <c r="H15" s="42"/>
    </row>
    <row r="16" customFormat="false" ht="15" hidden="false" customHeight="true" outlineLevel="0" collapsed="false">
      <c r="A16" s="43" t="s">
        <v>484</v>
      </c>
      <c r="B16" s="43"/>
      <c r="C16" s="43"/>
      <c r="D16" s="43"/>
      <c r="E16" s="43"/>
      <c r="F16" s="43"/>
      <c r="G16" s="43"/>
      <c r="H16" s="43"/>
    </row>
    <row r="17" customFormat="false" ht="15" hidden="false" customHeight="true" outlineLevel="0" collapsed="false">
      <c r="A17" s="42" t="s">
        <v>485</v>
      </c>
      <c r="B17" s="42"/>
      <c r="C17" s="42"/>
      <c r="D17" s="42"/>
      <c r="E17" s="42"/>
      <c r="F17" s="42"/>
      <c r="G17" s="42"/>
      <c r="H17" s="42"/>
    </row>
    <row r="18" customFormat="false" ht="15" hidden="false" customHeight="true" outlineLevel="0" collapsed="false">
      <c r="A18" s="42" t="s">
        <v>486</v>
      </c>
      <c r="B18" s="42"/>
      <c r="C18" s="42"/>
      <c r="D18" s="42"/>
      <c r="E18" s="42"/>
      <c r="F18" s="42"/>
      <c r="G18" s="42"/>
      <c r="H18" s="42"/>
    </row>
    <row r="19" customFormat="false" ht="15" hidden="false" customHeight="true" outlineLevel="0" collapsed="false">
      <c r="A19" s="42" t="s">
        <v>487</v>
      </c>
      <c r="B19" s="42"/>
      <c r="C19" s="42"/>
      <c r="D19" s="42"/>
      <c r="E19" s="42"/>
      <c r="F19" s="42"/>
      <c r="G19" s="42"/>
      <c r="H19" s="42"/>
    </row>
  </sheetData>
  <mergeCells count="11"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2026-08-05T17:46:11Z</dcterms:created>
  <dc:creator>openpyxl</dc:creator>
  <dc:description/>
  <dc:language>en-US</dc:language>
  <cp:lastModifiedBy/>
  <dcterms:modified xsi:type="dcterms:W3CDTF">2026-08-05T17:46:11Z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